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Users\1\Desktop\Голованов\Поставщики\"/>
    </mc:Choice>
  </mc:AlternateContent>
  <xr:revisionPtr revIDLastSave="0" documentId="13_ncr:1_{1206E637-0929-4BA6-B0FE-38A6A4D84A26}" xr6:coauthVersionLast="45" xr6:coauthVersionMax="47" xr10:uidLastSave="{00000000-0000-0000-0000-000000000000}"/>
  <bookViews>
    <workbookView xWindow="-23148" yWindow="-108" windowWidth="23256" windowHeight="13176" xr2:uid="{00000000-000D-0000-FFFF-FFFF00000000}"/>
  </bookViews>
  <sheets>
    <sheet name="ПРАЙ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82" i="1" l="1"/>
  <c r="K282" i="1"/>
  <c r="I282" i="1"/>
  <c r="F282" i="1"/>
  <c r="G282" i="1" s="1"/>
  <c r="L281" i="1"/>
  <c r="K281" i="1"/>
  <c r="I281" i="1"/>
  <c r="F281" i="1"/>
  <c r="G281" i="1" s="1"/>
  <c r="L279" i="1"/>
  <c r="K279" i="1"/>
  <c r="I279" i="1"/>
  <c r="F279" i="1"/>
  <c r="G279" i="1" s="1"/>
  <c r="L278" i="1"/>
  <c r="K278" i="1"/>
  <c r="I278" i="1"/>
  <c r="F278" i="1"/>
  <c r="G278" i="1" s="1"/>
  <c r="L277" i="1"/>
  <c r="K277" i="1"/>
  <c r="I277" i="1"/>
  <c r="F277" i="1"/>
  <c r="G277" i="1" s="1"/>
  <c r="L276" i="1"/>
  <c r="K276" i="1"/>
  <c r="I276" i="1"/>
  <c r="F276" i="1"/>
  <c r="G276" i="1" s="1"/>
  <c r="L275" i="1"/>
  <c r="K275" i="1"/>
  <c r="I275" i="1"/>
  <c r="F275" i="1"/>
  <c r="G275" i="1" s="1"/>
  <c r="L274" i="1"/>
  <c r="K274" i="1"/>
  <c r="I274" i="1"/>
  <c r="F274" i="1"/>
  <c r="G274" i="1" s="1"/>
  <c r="L273" i="1"/>
  <c r="K273" i="1"/>
  <c r="I273" i="1"/>
  <c r="F273" i="1"/>
  <c r="G273" i="1" s="1"/>
  <c r="L272" i="1"/>
  <c r="K272" i="1"/>
  <c r="I272" i="1"/>
  <c r="F272" i="1"/>
  <c r="G272" i="1" s="1"/>
  <c r="L271" i="1"/>
  <c r="K271" i="1"/>
  <c r="I271" i="1"/>
  <c r="F271" i="1"/>
  <c r="G271" i="1" s="1"/>
  <c r="L270" i="1"/>
  <c r="K270" i="1"/>
  <c r="I270" i="1"/>
  <c r="F270" i="1"/>
  <c r="G270" i="1" s="1"/>
  <c r="L269" i="1"/>
  <c r="K269" i="1"/>
  <c r="I269" i="1"/>
  <c r="F269" i="1"/>
  <c r="G269" i="1" s="1"/>
  <c r="L268" i="1"/>
  <c r="K268" i="1"/>
  <c r="I268" i="1"/>
  <c r="F268" i="1"/>
  <c r="G268" i="1" s="1"/>
  <c r="L267" i="1"/>
  <c r="K267" i="1"/>
  <c r="I267" i="1"/>
  <c r="F267" i="1"/>
  <c r="G267" i="1" s="1"/>
  <c r="K264" i="1"/>
  <c r="H264" i="1"/>
  <c r="L264" i="1" s="1"/>
  <c r="K263" i="1"/>
  <c r="H263" i="1"/>
  <c r="I263" i="1" s="1"/>
  <c r="K262" i="1"/>
  <c r="H262" i="1"/>
  <c r="L262" i="1" s="1"/>
  <c r="K261" i="1"/>
  <c r="H261" i="1"/>
  <c r="I261" i="1" s="1"/>
  <c r="L259" i="1"/>
  <c r="K259" i="1"/>
  <c r="I259" i="1"/>
  <c r="F259" i="1"/>
  <c r="G259" i="1" s="1"/>
  <c r="L258" i="1"/>
  <c r="K258" i="1"/>
  <c r="I258" i="1"/>
  <c r="F258" i="1"/>
  <c r="G258" i="1" s="1"/>
  <c r="L257" i="1"/>
  <c r="K257" i="1"/>
  <c r="I257" i="1"/>
  <c r="F257" i="1"/>
  <c r="G257" i="1" s="1"/>
  <c r="L255" i="1"/>
  <c r="K255" i="1"/>
  <c r="I255" i="1"/>
  <c r="F255" i="1"/>
  <c r="G255" i="1" s="1"/>
  <c r="L253" i="1"/>
  <c r="K253" i="1"/>
  <c r="I253" i="1"/>
  <c r="F253" i="1"/>
  <c r="G253" i="1" s="1"/>
  <c r="L252" i="1"/>
  <c r="K252" i="1"/>
  <c r="I252" i="1"/>
  <c r="F252" i="1"/>
  <c r="G252" i="1" s="1"/>
  <c r="L251" i="1"/>
  <c r="K251" i="1"/>
  <c r="I251" i="1"/>
  <c r="F251" i="1"/>
  <c r="G251" i="1" s="1"/>
  <c r="L250" i="1"/>
  <c r="K250" i="1"/>
  <c r="I250" i="1"/>
  <c r="F250" i="1"/>
  <c r="G250" i="1" s="1"/>
  <c r="L249" i="1"/>
  <c r="K249" i="1"/>
  <c r="I249" i="1"/>
  <c r="F249" i="1"/>
  <c r="G249" i="1" s="1"/>
  <c r="L246" i="1"/>
  <c r="K246" i="1"/>
  <c r="I246" i="1"/>
  <c r="F246" i="1"/>
  <c r="G246" i="1" s="1"/>
  <c r="L245" i="1"/>
  <c r="K245" i="1"/>
  <c r="I245" i="1"/>
  <c r="F245" i="1"/>
  <c r="G245" i="1" s="1"/>
  <c r="L244" i="1"/>
  <c r="K244" i="1"/>
  <c r="I244" i="1"/>
  <c r="F244" i="1"/>
  <c r="G244" i="1" s="1"/>
  <c r="L243" i="1"/>
  <c r="K243" i="1"/>
  <c r="I243" i="1"/>
  <c r="F243" i="1"/>
  <c r="G243" i="1" s="1"/>
  <c r="L242" i="1"/>
  <c r="K242" i="1"/>
  <c r="I242" i="1"/>
  <c r="F242" i="1"/>
  <c r="G242" i="1" s="1"/>
  <c r="L241" i="1"/>
  <c r="K241" i="1"/>
  <c r="I241" i="1"/>
  <c r="F241" i="1"/>
  <c r="G241" i="1" s="1"/>
  <c r="L240" i="1"/>
  <c r="K240" i="1"/>
  <c r="I240" i="1"/>
  <c r="F240" i="1"/>
  <c r="G240" i="1" s="1"/>
  <c r="L239" i="1"/>
  <c r="K239" i="1"/>
  <c r="I239" i="1"/>
  <c r="F239" i="1"/>
  <c r="G239" i="1" s="1"/>
  <c r="L238" i="1"/>
  <c r="K238" i="1"/>
  <c r="I238" i="1"/>
  <c r="F238" i="1"/>
  <c r="G238" i="1" s="1"/>
  <c r="B238" i="1"/>
  <c r="L237" i="1"/>
  <c r="K237" i="1"/>
  <c r="I237" i="1"/>
  <c r="F237" i="1"/>
  <c r="G237" i="1" s="1"/>
  <c r="L236" i="1"/>
  <c r="K236" i="1"/>
  <c r="I236" i="1"/>
  <c r="F236" i="1"/>
  <c r="G236" i="1" s="1"/>
  <c r="L235" i="1"/>
  <c r="K235" i="1"/>
  <c r="I235" i="1"/>
  <c r="F235" i="1"/>
  <c r="G235" i="1" s="1"/>
  <c r="L234" i="1"/>
  <c r="K234" i="1"/>
  <c r="I234" i="1"/>
  <c r="F234" i="1"/>
  <c r="G234" i="1" s="1"/>
  <c r="B234" i="1"/>
  <c r="L233" i="1"/>
  <c r="K233" i="1"/>
  <c r="I233" i="1"/>
  <c r="F233" i="1"/>
  <c r="G233" i="1" s="1"/>
  <c r="L232" i="1"/>
  <c r="K232" i="1"/>
  <c r="I232" i="1"/>
  <c r="F232" i="1"/>
  <c r="G232" i="1" s="1"/>
  <c r="L230" i="1"/>
  <c r="K230" i="1"/>
  <c r="I230" i="1"/>
  <c r="F230" i="1"/>
  <c r="G230" i="1" s="1"/>
  <c r="L229" i="1"/>
  <c r="K229" i="1"/>
  <c r="I229" i="1"/>
  <c r="F229" i="1"/>
  <c r="G229" i="1" s="1"/>
  <c r="I227" i="1"/>
  <c r="I226" i="1"/>
  <c r="I225" i="1"/>
  <c r="I224" i="1"/>
  <c r="I223" i="1"/>
  <c r="I222" i="1"/>
  <c r="I221" i="1"/>
  <c r="L220" i="1"/>
  <c r="K220" i="1"/>
  <c r="I220" i="1"/>
  <c r="F220" i="1"/>
  <c r="G220" i="1" s="1"/>
  <c r="L219" i="1"/>
  <c r="K219" i="1"/>
  <c r="I219" i="1"/>
  <c r="F219" i="1"/>
  <c r="G219" i="1" s="1"/>
  <c r="L217" i="1"/>
  <c r="K217" i="1"/>
  <c r="I217" i="1"/>
  <c r="F217" i="1"/>
  <c r="G217" i="1" s="1"/>
  <c r="L216" i="1"/>
  <c r="K216" i="1"/>
  <c r="I216" i="1"/>
  <c r="F216" i="1"/>
  <c r="G216" i="1" s="1"/>
  <c r="L215" i="1"/>
  <c r="K215" i="1"/>
  <c r="I215" i="1"/>
  <c r="F215" i="1"/>
  <c r="G215" i="1" s="1"/>
  <c r="L214" i="1"/>
  <c r="K214" i="1"/>
  <c r="I214" i="1"/>
  <c r="F214" i="1"/>
  <c r="G214" i="1" s="1"/>
  <c r="L213" i="1"/>
  <c r="K213" i="1"/>
  <c r="I213" i="1"/>
  <c r="F213" i="1"/>
  <c r="G213" i="1" s="1"/>
  <c r="L211" i="1"/>
  <c r="K211" i="1"/>
  <c r="I211" i="1"/>
  <c r="F211" i="1"/>
  <c r="G211" i="1" s="1"/>
  <c r="L210" i="1"/>
  <c r="K210" i="1"/>
  <c r="I210" i="1"/>
  <c r="F210" i="1"/>
  <c r="G210" i="1" s="1"/>
  <c r="L209" i="1"/>
  <c r="K209" i="1"/>
  <c r="I209" i="1"/>
  <c r="F209" i="1"/>
  <c r="G209" i="1" s="1"/>
  <c r="L207" i="1"/>
  <c r="K207" i="1"/>
  <c r="I207" i="1"/>
  <c r="F207" i="1"/>
  <c r="G207" i="1" s="1"/>
  <c r="L206" i="1"/>
  <c r="K206" i="1"/>
  <c r="I206" i="1"/>
  <c r="F206" i="1"/>
  <c r="G206" i="1" s="1"/>
  <c r="L205" i="1"/>
  <c r="K205" i="1"/>
  <c r="I205" i="1"/>
  <c r="F205" i="1"/>
  <c r="G205" i="1" s="1"/>
  <c r="L204" i="1"/>
  <c r="K204" i="1"/>
  <c r="I204" i="1"/>
  <c r="F204" i="1"/>
  <c r="G204" i="1" s="1"/>
  <c r="L203" i="1"/>
  <c r="K203" i="1"/>
  <c r="I203" i="1"/>
  <c r="F203" i="1"/>
  <c r="G203" i="1" s="1"/>
  <c r="L201" i="1"/>
  <c r="K201" i="1"/>
  <c r="I201" i="1"/>
  <c r="F201" i="1"/>
  <c r="G201" i="1" s="1"/>
  <c r="L200" i="1"/>
  <c r="K200" i="1"/>
  <c r="I200" i="1"/>
  <c r="F200" i="1"/>
  <c r="G200" i="1" s="1"/>
  <c r="L198" i="1"/>
  <c r="K198" i="1"/>
  <c r="I198" i="1"/>
  <c r="F198" i="1"/>
  <c r="G198" i="1" s="1"/>
  <c r="L197" i="1"/>
  <c r="K197" i="1"/>
  <c r="I197" i="1"/>
  <c r="F197" i="1"/>
  <c r="G197" i="1" s="1"/>
  <c r="L194" i="1"/>
  <c r="K194" i="1"/>
  <c r="I194" i="1"/>
  <c r="L193" i="1"/>
  <c r="K193" i="1"/>
  <c r="I193" i="1"/>
  <c r="L192" i="1"/>
  <c r="K192" i="1"/>
  <c r="I192" i="1"/>
  <c r="L190" i="1"/>
  <c r="K190" i="1"/>
  <c r="I190" i="1"/>
  <c r="F190" i="1"/>
  <c r="G190" i="1" s="1"/>
  <c r="L189" i="1"/>
  <c r="K189" i="1"/>
  <c r="I189" i="1"/>
  <c r="F189" i="1"/>
  <c r="G189" i="1" s="1"/>
  <c r="L188" i="1"/>
  <c r="K188" i="1"/>
  <c r="I188" i="1"/>
  <c r="F188" i="1"/>
  <c r="G188" i="1" s="1"/>
  <c r="L186" i="1"/>
  <c r="K186" i="1"/>
  <c r="I186" i="1"/>
  <c r="F186" i="1"/>
  <c r="G186" i="1" s="1"/>
  <c r="L185" i="1"/>
  <c r="K185" i="1"/>
  <c r="I185" i="1"/>
  <c r="F185" i="1"/>
  <c r="G185" i="1" s="1"/>
  <c r="L184" i="1"/>
  <c r="K184" i="1"/>
  <c r="I184" i="1"/>
  <c r="F184" i="1"/>
  <c r="G184" i="1" s="1"/>
  <c r="L183" i="1"/>
  <c r="K183" i="1"/>
  <c r="I183" i="1"/>
  <c r="F183" i="1"/>
  <c r="G183" i="1" s="1"/>
  <c r="L182" i="1"/>
  <c r="K182" i="1"/>
  <c r="I182" i="1"/>
  <c r="F182" i="1"/>
  <c r="G182" i="1" s="1"/>
  <c r="L181" i="1"/>
  <c r="K181" i="1"/>
  <c r="I181" i="1"/>
  <c r="F181" i="1"/>
  <c r="G181" i="1" s="1"/>
  <c r="L180" i="1"/>
  <c r="K180" i="1"/>
  <c r="I180" i="1"/>
  <c r="F180" i="1"/>
  <c r="G180" i="1" s="1"/>
  <c r="L179" i="1"/>
  <c r="K179" i="1"/>
  <c r="I179" i="1"/>
  <c r="F179" i="1"/>
  <c r="G179" i="1" s="1"/>
  <c r="L178" i="1"/>
  <c r="K178" i="1"/>
  <c r="I178" i="1"/>
  <c r="F178" i="1"/>
  <c r="G178" i="1" s="1"/>
  <c r="L177" i="1"/>
  <c r="K177" i="1"/>
  <c r="I177" i="1"/>
  <c r="F177" i="1"/>
  <c r="G177" i="1" s="1"/>
  <c r="L176" i="1"/>
  <c r="K176" i="1"/>
  <c r="I176" i="1"/>
  <c r="F176" i="1"/>
  <c r="G176" i="1" s="1"/>
  <c r="L175" i="1"/>
  <c r="K175" i="1"/>
  <c r="I175" i="1"/>
  <c r="F175" i="1"/>
  <c r="G175" i="1" s="1"/>
  <c r="L174" i="1"/>
  <c r="K174" i="1"/>
  <c r="I174" i="1"/>
  <c r="F174" i="1"/>
  <c r="G174" i="1" s="1"/>
  <c r="L173" i="1"/>
  <c r="K173" i="1"/>
  <c r="I173" i="1"/>
  <c r="F173" i="1"/>
  <c r="G173" i="1" s="1"/>
  <c r="L172" i="1"/>
  <c r="K172" i="1"/>
  <c r="I172" i="1"/>
  <c r="F172" i="1"/>
  <c r="G172" i="1" s="1"/>
  <c r="L171" i="1"/>
  <c r="K171" i="1"/>
  <c r="I171" i="1"/>
  <c r="F171" i="1"/>
  <c r="G171" i="1" s="1"/>
  <c r="L170" i="1"/>
  <c r="K170" i="1"/>
  <c r="I170" i="1"/>
  <c r="F170" i="1"/>
  <c r="G170" i="1" s="1"/>
  <c r="L169" i="1"/>
  <c r="K169" i="1"/>
  <c r="I169" i="1"/>
  <c r="F169" i="1"/>
  <c r="G169" i="1" s="1"/>
  <c r="L167" i="1"/>
  <c r="K167" i="1"/>
  <c r="I167" i="1"/>
  <c r="F167" i="1"/>
  <c r="G167" i="1" s="1"/>
  <c r="L166" i="1"/>
  <c r="K166" i="1"/>
  <c r="I166" i="1"/>
  <c r="F166" i="1"/>
  <c r="G166" i="1" s="1"/>
  <c r="L165" i="1"/>
  <c r="K165" i="1"/>
  <c r="I165" i="1"/>
  <c r="F165" i="1"/>
  <c r="G165" i="1" s="1"/>
  <c r="L164" i="1"/>
  <c r="K164" i="1"/>
  <c r="I164" i="1"/>
  <c r="F164" i="1"/>
  <c r="G164" i="1" s="1"/>
  <c r="L163" i="1"/>
  <c r="K163" i="1"/>
  <c r="I163" i="1"/>
  <c r="F163" i="1"/>
  <c r="G163" i="1" s="1"/>
  <c r="L162" i="1"/>
  <c r="K162" i="1"/>
  <c r="I162" i="1"/>
  <c r="F162" i="1"/>
  <c r="G162" i="1" s="1"/>
  <c r="L161" i="1"/>
  <c r="K161" i="1"/>
  <c r="I161" i="1"/>
  <c r="F161" i="1"/>
  <c r="G161" i="1" s="1"/>
  <c r="L160" i="1"/>
  <c r="K160" i="1"/>
  <c r="I160" i="1"/>
  <c r="F160" i="1"/>
  <c r="G160" i="1" s="1"/>
  <c r="L159" i="1"/>
  <c r="K159" i="1"/>
  <c r="I159" i="1"/>
  <c r="F159" i="1"/>
  <c r="G159" i="1" s="1"/>
  <c r="L158" i="1"/>
  <c r="K158" i="1"/>
  <c r="I158" i="1"/>
  <c r="F158" i="1"/>
  <c r="G158" i="1" s="1"/>
  <c r="L157" i="1"/>
  <c r="K157" i="1"/>
  <c r="I157" i="1"/>
  <c r="F157" i="1"/>
  <c r="G157" i="1" s="1"/>
  <c r="L156" i="1"/>
  <c r="K156" i="1"/>
  <c r="I156" i="1"/>
  <c r="F156" i="1"/>
  <c r="G156" i="1" s="1"/>
  <c r="L155" i="1"/>
  <c r="K155" i="1"/>
  <c r="I155" i="1"/>
  <c r="F155" i="1"/>
  <c r="G155" i="1" s="1"/>
  <c r="L154" i="1"/>
  <c r="K154" i="1"/>
  <c r="I154" i="1"/>
  <c r="F154" i="1"/>
  <c r="G154" i="1" s="1"/>
  <c r="L153" i="1"/>
  <c r="K153" i="1"/>
  <c r="I153" i="1"/>
  <c r="F153" i="1"/>
  <c r="G153" i="1" s="1"/>
  <c r="L151" i="1"/>
  <c r="L150" i="1"/>
  <c r="K150" i="1"/>
  <c r="I150" i="1"/>
  <c r="F150" i="1"/>
  <c r="G150" i="1" s="1"/>
  <c r="L149" i="1"/>
  <c r="K149" i="1"/>
  <c r="I149" i="1"/>
  <c r="F149" i="1"/>
  <c r="G149" i="1" s="1"/>
  <c r="L148" i="1"/>
  <c r="K148" i="1"/>
  <c r="I148" i="1"/>
  <c r="F148" i="1"/>
  <c r="G148" i="1" s="1"/>
  <c r="L147" i="1"/>
  <c r="K147" i="1"/>
  <c r="I147" i="1"/>
  <c r="F147" i="1"/>
  <c r="G147" i="1" s="1"/>
  <c r="L146" i="1"/>
  <c r="K146" i="1"/>
  <c r="I146" i="1"/>
  <c r="F146" i="1"/>
  <c r="G146" i="1" s="1"/>
  <c r="L145" i="1"/>
  <c r="K145" i="1"/>
  <c r="I145" i="1"/>
  <c r="F145" i="1"/>
  <c r="G145" i="1" s="1"/>
  <c r="L142" i="1"/>
  <c r="K142" i="1"/>
  <c r="I142" i="1"/>
  <c r="F142" i="1"/>
  <c r="G142" i="1" s="1"/>
  <c r="L141" i="1"/>
  <c r="K141" i="1"/>
  <c r="I141" i="1"/>
  <c r="F141" i="1"/>
  <c r="G141" i="1" s="1"/>
  <c r="L140" i="1"/>
  <c r="K140" i="1"/>
  <c r="I140" i="1"/>
  <c r="F140" i="1"/>
  <c r="G140" i="1" s="1"/>
  <c r="L139" i="1"/>
  <c r="K139" i="1"/>
  <c r="I139" i="1"/>
  <c r="F139" i="1"/>
  <c r="G139" i="1" s="1"/>
  <c r="L138" i="1"/>
  <c r="K138" i="1"/>
  <c r="I138" i="1"/>
  <c r="F138" i="1"/>
  <c r="G138" i="1" s="1"/>
  <c r="L137" i="1"/>
  <c r="K137" i="1"/>
  <c r="I137" i="1"/>
  <c r="F137" i="1"/>
  <c r="G137" i="1" s="1"/>
  <c r="L136" i="1"/>
  <c r="K136" i="1"/>
  <c r="I136" i="1"/>
  <c r="F136" i="1"/>
  <c r="G136" i="1" s="1"/>
  <c r="L134" i="1"/>
  <c r="K134" i="1"/>
  <c r="I134" i="1"/>
  <c r="F134" i="1"/>
  <c r="G134" i="1" s="1"/>
  <c r="L133" i="1"/>
  <c r="K133" i="1"/>
  <c r="I133" i="1"/>
  <c r="F133" i="1"/>
  <c r="G133" i="1" s="1"/>
  <c r="L132" i="1"/>
  <c r="K132" i="1"/>
  <c r="I132" i="1"/>
  <c r="F132" i="1"/>
  <c r="G132" i="1" s="1"/>
  <c r="L130" i="1"/>
  <c r="K130" i="1"/>
  <c r="I130" i="1"/>
  <c r="F130" i="1"/>
  <c r="G130" i="1" s="1"/>
  <c r="L129" i="1"/>
  <c r="K129" i="1"/>
  <c r="I129" i="1"/>
  <c r="F129" i="1"/>
  <c r="G129" i="1" s="1"/>
  <c r="L128" i="1"/>
  <c r="K128" i="1"/>
  <c r="I128" i="1"/>
  <c r="F128" i="1"/>
  <c r="G128" i="1" s="1"/>
  <c r="L127" i="1"/>
  <c r="K127" i="1"/>
  <c r="I127" i="1"/>
  <c r="F127" i="1"/>
  <c r="G127" i="1" s="1"/>
  <c r="L126" i="1"/>
  <c r="K126" i="1"/>
  <c r="I126" i="1"/>
  <c r="F126" i="1"/>
  <c r="G126" i="1" s="1"/>
  <c r="L125" i="1"/>
  <c r="K125" i="1"/>
  <c r="I125" i="1"/>
  <c r="F125" i="1"/>
  <c r="G125" i="1" s="1"/>
  <c r="L123" i="1"/>
  <c r="K123" i="1"/>
  <c r="I123" i="1"/>
  <c r="F123" i="1"/>
  <c r="G123" i="1" s="1"/>
  <c r="L122" i="1"/>
  <c r="K122" i="1"/>
  <c r="I122" i="1"/>
  <c r="F122" i="1"/>
  <c r="G122" i="1" s="1"/>
  <c r="L121" i="1"/>
  <c r="K121" i="1"/>
  <c r="I121" i="1"/>
  <c r="F121" i="1"/>
  <c r="G121" i="1" s="1"/>
  <c r="L119" i="1"/>
  <c r="K119" i="1"/>
  <c r="I119" i="1"/>
  <c r="F119" i="1"/>
  <c r="G119" i="1" s="1"/>
  <c r="L118" i="1"/>
  <c r="K118" i="1"/>
  <c r="I118" i="1"/>
  <c r="F118" i="1"/>
  <c r="G118" i="1" s="1"/>
  <c r="L117" i="1"/>
  <c r="K117" i="1"/>
  <c r="I117" i="1"/>
  <c r="F117" i="1"/>
  <c r="G117" i="1" s="1"/>
  <c r="L116" i="1"/>
  <c r="K116" i="1"/>
  <c r="I116" i="1"/>
  <c r="F116" i="1"/>
  <c r="G116" i="1" s="1"/>
  <c r="L115" i="1"/>
  <c r="K115" i="1"/>
  <c r="I115" i="1"/>
  <c r="F115" i="1"/>
  <c r="G115" i="1" s="1"/>
  <c r="L113" i="1"/>
  <c r="K113" i="1"/>
  <c r="I113" i="1"/>
  <c r="F113" i="1"/>
  <c r="G113" i="1" s="1"/>
  <c r="L112" i="1"/>
  <c r="K112" i="1"/>
  <c r="I112" i="1"/>
  <c r="F112" i="1"/>
  <c r="G112" i="1" s="1"/>
  <c r="L111" i="1"/>
  <c r="K111" i="1"/>
  <c r="I111" i="1"/>
  <c r="F111" i="1"/>
  <c r="G111" i="1" s="1"/>
  <c r="L110" i="1"/>
  <c r="K110" i="1"/>
  <c r="I110" i="1"/>
  <c r="F110" i="1"/>
  <c r="G110" i="1" s="1"/>
  <c r="L109" i="1"/>
  <c r="K109" i="1"/>
  <c r="I109" i="1"/>
  <c r="F109" i="1"/>
  <c r="G109" i="1" s="1"/>
  <c r="L108" i="1"/>
  <c r="K108" i="1"/>
  <c r="I108" i="1"/>
  <c r="F108" i="1"/>
  <c r="G108" i="1" s="1"/>
  <c r="L107" i="1"/>
  <c r="K107" i="1"/>
  <c r="I107" i="1"/>
  <c r="F107" i="1"/>
  <c r="G107" i="1" s="1"/>
  <c r="L106" i="1"/>
  <c r="K106" i="1"/>
  <c r="I106" i="1"/>
  <c r="F106" i="1"/>
  <c r="G106" i="1" s="1"/>
  <c r="L105" i="1"/>
  <c r="K105" i="1"/>
  <c r="I105" i="1"/>
  <c r="F105" i="1"/>
  <c r="G105" i="1" s="1"/>
  <c r="L104" i="1"/>
  <c r="K104" i="1"/>
  <c r="I104" i="1"/>
  <c r="F104" i="1"/>
  <c r="G104" i="1" s="1"/>
  <c r="L103" i="1"/>
  <c r="K103" i="1"/>
  <c r="I103" i="1"/>
  <c r="F103" i="1"/>
  <c r="G103" i="1" s="1"/>
  <c r="L102" i="1"/>
  <c r="K102" i="1"/>
  <c r="I102" i="1"/>
  <c r="F102" i="1"/>
  <c r="G102" i="1" s="1"/>
  <c r="L101" i="1"/>
  <c r="K101" i="1"/>
  <c r="I101" i="1"/>
  <c r="F101" i="1"/>
  <c r="G101" i="1" s="1"/>
  <c r="L99" i="1"/>
  <c r="K99" i="1"/>
  <c r="I99" i="1"/>
  <c r="F99" i="1"/>
  <c r="G99" i="1" s="1"/>
  <c r="L98" i="1"/>
  <c r="K98" i="1"/>
  <c r="I98" i="1"/>
  <c r="F98" i="1"/>
  <c r="G98" i="1" s="1"/>
  <c r="L97" i="1"/>
  <c r="K97" i="1"/>
  <c r="I97" i="1"/>
  <c r="F97" i="1"/>
  <c r="G97" i="1" s="1"/>
  <c r="L96" i="1"/>
  <c r="K96" i="1"/>
  <c r="I96" i="1"/>
  <c r="F96" i="1"/>
  <c r="G96" i="1" s="1"/>
  <c r="L95" i="1"/>
  <c r="K95" i="1"/>
  <c r="I95" i="1"/>
  <c r="F95" i="1"/>
  <c r="G95" i="1" s="1"/>
  <c r="L94" i="1"/>
  <c r="K94" i="1"/>
  <c r="I94" i="1"/>
  <c r="F94" i="1"/>
  <c r="G94" i="1" s="1"/>
  <c r="L93" i="1"/>
  <c r="K93" i="1"/>
  <c r="I93" i="1"/>
  <c r="F93" i="1"/>
  <c r="G93" i="1" s="1"/>
  <c r="L92" i="1"/>
  <c r="K92" i="1"/>
  <c r="I92" i="1"/>
  <c r="F92" i="1"/>
  <c r="G92" i="1" s="1"/>
  <c r="L91" i="1"/>
  <c r="K91" i="1"/>
  <c r="I91" i="1"/>
  <c r="F91" i="1"/>
  <c r="G91" i="1" s="1"/>
  <c r="K90" i="1"/>
  <c r="I90" i="1"/>
  <c r="F90" i="1"/>
  <c r="G90" i="1" s="1"/>
  <c r="K89" i="1"/>
  <c r="I89" i="1"/>
  <c r="F89" i="1"/>
  <c r="G89" i="1" s="1"/>
  <c r="L87" i="1"/>
  <c r="K87" i="1"/>
  <c r="I87" i="1"/>
  <c r="F87" i="1"/>
  <c r="G87" i="1" s="1"/>
  <c r="L86" i="1"/>
  <c r="K86" i="1"/>
  <c r="I86" i="1"/>
  <c r="F86" i="1"/>
  <c r="G86" i="1" s="1"/>
  <c r="L85" i="1"/>
  <c r="K85" i="1"/>
  <c r="I85" i="1"/>
  <c r="F85" i="1"/>
  <c r="G85" i="1" s="1"/>
  <c r="L84" i="1"/>
  <c r="K84" i="1"/>
  <c r="I84" i="1"/>
  <c r="F84" i="1"/>
  <c r="G84" i="1" s="1"/>
  <c r="L83" i="1"/>
  <c r="K83" i="1"/>
  <c r="I83" i="1"/>
  <c r="F83" i="1"/>
  <c r="G83" i="1" s="1"/>
  <c r="L82" i="1"/>
  <c r="K82" i="1"/>
  <c r="I82" i="1"/>
  <c r="F82" i="1"/>
  <c r="G82" i="1" s="1"/>
  <c r="L81" i="1"/>
  <c r="K81" i="1"/>
  <c r="I81" i="1"/>
  <c r="F81" i="1"/>
  <c r="G81" i="1" s="1"/>
  <c r="L80" i="1"/>
  <c r="K80" i="1"/>
  <c r="I80" i="1"/>
  <c r="F80" i="1"/>
  <c r="G80" i="1" s="1"/>
  <c r="L79" i="1"/>
  <c r="K79" i="1"/>
  <c r="I79" i="1"/>
  <c r="F79" i="1"/>
  <c r="G79" i="1" s="1"/>
  <c r="L78" i="1"/>
  <c r="K78" i="1"/>
  <c r="I78" i="1"/>
  <c r="F78" i="1"/>
  <c r="G78" i="1" s="1"/>
  <c r="L77" i="1"/>
  <c r="K77" i="1"/>
  <c r="I77" i="1"/>
  <c r="F77" i="1"/>
  <c r="G77" i="1" s="1"/>
  <c r="L76" i="1"/>
  <c r="K76" i="1"/>
  <c r="I76" i="1"/>
  <c r="F76" i="1"/>
  <c r="G76" i="1" s="1"/>
  <c r="L75" i="1"/>
  <c r="K75" i="1"/>
  <c r="I75" i="1"/>
  <c r="F75" i="1"/>
  <c r="G75" i="1" s="1"/>
  <c r="L74" i="1"/>
  <c r="K74" i="1"/>
  <c r="I74" i="1"/>
  <c r="F74" i="1"/>
  <c r="G74" i="1" s="1"/>
  <c r="L71" i="1"/>
  <c r="K71" i="1"/>
  <c r="I71" i="1"/>
  <c r="F71" i="1"/>
  <c r="G71" i="1" s="1"/>
  <c r="L70" i="1"/>
  <c r="L69" i="1"/>
  <c r="K69" i="1"/>
  <c r="I69" i="1"/>
  <c r="F69" i="1"/>
  <c r="G69" i="1" s="1"/>
  <c r="L68" i="1"/>
  <c r="K68" i="1"/>
  <c r="I68" i="1"/>
  <c r="F68" i="1"/>
  <c r="G68" i="1" s="1"/>
  <c r="L67" i="1"/>
  <c r="K67" i="1"/>
  <c r="I67" i="1"/>
  <c r="F67" i="1"/>
  <c r="G67" i="1" s="1"/>
  <c r="L66" i="1"/>
  <c r="K66" i="1"/>
  <c r="I66" i="1"/>
  <c r="F66" i="1"/>
  <c r="G66" i="1" s="1"/>
  <c r="L65" i="1"/>
  <c r="K65" i="1"/>
  <c r="I65" i="1"/>
  <c r="F65" i="1"/>
  <c r="G65" i="1" s="1"/>
  <c r="L64" i="1"/>
  <c r="K64" i="1"/>
  <c r="I64" i="1"/>
  <c r="F64" i="1"/>
  <c r="G64" i="1" s="1"/>
  <c r="L63" i="1"/>
  <c r="K63" i="1"/>
  <c r="I63" i="1"/>
  <c r="F63" i="1"/>
  <c r="G63" i="1" s="1"/>
  <c r="L62" i="1"/>
  <c r="K62" i="1"/>
  <c r="I62" i="1"/>
  <c r="F62" i="1"/>
  <c r="G62" i="1" s="1"/>
  <c r="L61" i="1"/>
  <c r="K61" i="1"/>
  <c r="I61" i="1"/>
  <c r="F61" i="1"/>
  <c r="G61" i="1" s="1"/>
  <c r="L60" i="1"/>
  <c r="K60" i="1"/>
  <c r="I60" i="1"/>
  <c r="F60" i="1"/>
  <c r="G60" i="1" s="1"/>
  <c r="L59" i="1"/>
  <c r="K59" i="1"/>
  <c r="I59" i="1"/>
  <c r="F59" i="1"/>
  <c r="G59" i="1" s="1"/>
  <c r="L58" i="1"/>
  <c r="K58" i="1"/>
  <c r="I58" i="1"/>
  <c r="F58" i="1"/>
  <c r="G58" i="1" s="1"/>
  <c r="L57" i="1"/>
  <c r="K57" i="1"/>
  <c r="I57" i="1"/>
  <c r="F57" i="1"/>
  <c r="G57" i="1" s="1"/>
  <c r="L56" i="1"/>
  <c r="K56" i="1"/>
  <c r="I56" i="1"/>
  <c r="F56" i="1"/>
  <c r="G56" i="1" s="1"/>
  <c r="L55" i="1"/>
  <c r="K55" i="1"/>
  <c r="I55" i="1"/>
  <c r="F55" i="1"/>
  <c r="G55" i="1" s="1"/>
  <c r="L54" i="1"/>
  <c r="K54" i="1"/>
  <c r="I54" i="1"/>
  <c r="F54" i="1"/>
  <c r="G54" i="1" s="1"/>
  <c r="L53" i="1"/>
  <c r="K53" i="1"/>
  <c r="I53" i="1"/>
  <c r="F53" i="1"/>
  <c r="G53" i="1" s="1"/>
  <c r="L52" i="1"/>
  <c r="K52" i="1"/>
  <c r="I52" i="1"/>
  <c r="F52" i="1"/>
  <c r="G52" i="1" s="1"/>
  <c r="L51" i="1"/>
  <c r="K51" i="1"/>
  <c r="I51" i="1"/>
  <c r="F51" i="1"/>
  <c r="G51" i="1" s="1"/>
  <c r="L50" i="1"/>
  <c r="K50" i="1"/>
  <c r="I50" i="1"/>
  <c r="F50" i="1"/>
  <c r="G50" i="1" s="1"/>
  <c r="L48" i="1"/>
  <c r="K48" i="1"/>
  <c r="I48" i="1"/>
  <c r="F48" i="1"/>
  <c r="G48" i="1" s="1"/>
  <c r="L47" i="1"/>
  <c r="K47" i="1"/>
  <c r="I47" i="1"/>
  <c r="F47" i="1"/>
  <c r="G47" i="1" s="1"/>
  <c r="L46" i="1"/>
  <c r="K46" i="1"/>
  <c r="I46" i="1"/>
  <c r="F46" i="1"/>
  <c r="G46" i="1" s="1"/>
  <c r="L45" i="1"/>
  <c r="K45" i="1"/>
  <c r="I45" i="1"/>
  <c r="F45" i="1"/>
  <c r="G45" i="1" s="1"/>
  <c r="L44" i="1"/>
  <c r="K44" i="1"/>
  <c r="I44" i="1"/>
  <c r="F44" i="1"/>
  <c r="G44" i="1" s="1"/>
  <c r="L43" i="1"/>
  <c r="K43" i="1"/>
  <c r="I43" i="1"/>
  <c r="F43" i="1"/>
  <c r="G43" i="1" s="1"/>
  <c r="L42" i="1"/>
  <c r="K42" i="1"/>
  <c r="I42" i="1"/>
  <c r="F42" i="1"/>
  <c r="G42" i="1" s="1"/>
  <c r="L41" i="1"/>
  <c r="K41" i="1"/>
  <c r="I41" i="1"/>
  <c r="F41" i="1"/>
  <c r="G41" i="1" s="1"/>
  <c r="L40" i="1"/>
  <c r="K40" i="1"/>
  <c r="I40" i="1"/>
  <c r="F40" i="1"/>
  <c r="G40" i="1" s="1"/>
  <c r="L39" i="1"/>
  <c r="K39" i="1"/>
  <c r="I39" i="1"/>
  <c r="F39" i="1"/>
  <c r="G39" i="1" s="1"/>
  <c r="L38" i="1"/>
  <c r="K38" i="1"/>
  <c r="I38" i="1"/>
  <c r="F38" i="1"/>
  <c r="G38" i="1" s="1"/>
  <c r="L37" i="1"/>
  <c r="K37" i="1"/>
  <c r="I37" i="1"/>
  <c r="F37" i="1"/>
  <c r="G37" i="1" s="1"/>
  <c r="L36" i="1"/>
  <c r="K36" i="1"/>
  <c r="I36" i="1"/>
  <c r="F36" i="1"/>
  <c r="G36" i="1" s="1"/>
  <c r="L35" i="1"/>
  <c r="K35" i="1"/>
  <c r="I35" i="1"/>
  <c r="F35" i="1"/>
  <c r="G35" i="1" s="1"/>
  <c r="L34" i="1"/>
  <c r="K34" i="1"/>
  <c r="I34" i="1"/>
  <c r="F34" i="1"/>
  <c r="G34" i="1" s="1"/>
  <c r="L33" i="1"/>
  <c r="K33" i="1"/>
  <c r="I33" i="1"/>
  <c r="F33" i="1"/>
  <c r="G33" i="1" s="1"/>
  <c r="L32" i="1"/>
  <c r="K32" i="1"/>
  <c r="I32" i="1"/>
  <c r="F32" i="1"/>
  <c r="G32" i="1" s="1"/>
  <c r="L31" i="1"/>
  <c r="K31" i="1"/>
  <c r="I31" i="1"/>
  <c r="F31" i="1"/>
  <c r="G31" i="1" s="1"/>
  <c r="L30" i="1"/>
  <c r="K30" i="1"/>
  <c r="I30" i="1"/>
  <c r="F30" i="1"/>
  <c r="G30" i="1" s="1"/>
  <c r="L29" i="1"/>
  <c r="K29" i="1"/>
  <c r="I29" i="1"/>
  <c r="F29" i="1"/>
  <c r="G29" i="1" s="1"/>
  <c r="L28" i="1"/>
  <c r="K28" i="1"/>
  <c r="I28" i="1"/>
  <c r="F28" i="1"/>
  <c r="G28" i="1" s="1"/>
  <c r="L27" i="1"/>
  <c r="K27" i="1"/>
  <c r="I27" i="1"/>
  <c r="F27" i="1"/>
  <c r="G27" i="1" s="1"/>
  <c r="L26" i="1"/>
  <c r="K26" i="1"/>
  <c r="I26" i="1"/>
  <c r="F26" i="1"/>
  <c r="G26" i="1" s="1"/>
  <c r="L25" i="1"/>
  <c r="K25" i="1"/>
  <c r="F25" i="1"/>
  <c r="G25" i="1" s="1"/>
  <c r="L24" i="1"/>
  <c r="K24" i="1"/>
  <c r="I24" i="1"/>
  <c r="F24" i="1"/>
  <c r="G24" i="1" s="1"/>
  <c r="L23" i="1"/>
  <c r="K23" i="1"/>
  <c r="I23" i="1"/>
  <c r="F23" i="1"/>
  <c r="G23" i="1" s="1"/>
  <c r="L21" i="1"/>
  <c r="K21" i="1"/>
  <c r="I21" i="1"/>
  <c r="F21" i="1"/>
  <c r="G21" i="1" s="1"/>
  <c r="L20" i="1"/>
  <c r="K20" i="1"/>
  <c r="I20" i="1"/>
  <c r="F20" i="1"/>
  <c r="G20" i="1" s="1"/>
  <c r="L19" i="1"/>
  <c r="K19" i="1"/>
  <c r="I19" i="1"/>
  <c r="F19" i="1"/>
  <c r="G19" i="1" s="1"/>
  <c r="L18" i="1"/>
  <c r="K18" i="1"/>
  <c r="I18" i="1"/>
  <c r="F18" i="1"/>
  <c r="G18" i="1" s="1"/>
  <c r="L17" i="1"/>
  <c r="K17" i="1"/>
  <c r="I17" i="1"/>
  <c r="F17" i="1"/>
  <c r="G17" i="1" s="1"/>
  <c r="L16" i="1"/>
  <c r="K16" i="1"/>
  <c r="I16" i="1"/>
  <c r="F16" i="1"/>
  <c r="G16" i="1" s="1"/>
  <c r="L15" i="1"/>
  <c r="K15" i="1"/>
  <c r="I15" i="1"/>
  <c r="F15" i="1"/>
  <c r="G15" i="1" s="1"/>
  <c r="L13" i="1"/>
  <c r="K13" i="1"/>
  <c r="I13" i="1"/>
  <c r="F13" i="1"/>
  <c r="G13" i="1" s="1"/>
  <c r="L12" i="1"/>
  <c r="K12" i="1"/>
  <c r="I12" i="1"/>
  <c r="F12" i="1"/>
  <c r="G12" i="1" s="1"/>
  <c r="L11" i="1"/>
  <c r="K11" i="1"/>
  <c r="I11" i="1"/>
  <c r="F11" i="1"/>
  <c r="G11" i="1" s="1"/>
  <c r="L10" i="1"/>
  <c r="K10" i="1"/>
  <c r="I10" i="1"/>
  <c r="F10" i="1"/>
  <c r="G10" i="1" s="1"/>
  <c r="L9" i="1"/>
  <c r="K9" i="1"/>
  <c r="I9" i="1"/>
  <c r="F9" i="1"/>
  <c r="G9" i="1" s="1"/>
  <c r="L8" i="1"/>
  <c r="K8" i="1"/>
  <c r="I8" i="1"/>
  <c r="F8" i="1"/>
  <c r="G8" i="1" s="1"/>
  <c r="L7" i="1"/>
  <c r="K7" i="1"/>
  <c r="I7" i="1"/>
  <c r="F7" i="1"/>
  <c r="G7" i="1" s="1"/>
  <c r="L6" i="1"/>
  <c r="K6" i="1"/>
  <c r="I6" i="1"/>
  <c r="F6" i="1"/>
  <c r="G6" i="1" s="1"/>
  <c r="L5" i="1"/>
  <c r="K5" i="1"/>
  <c r="I5" i="1"/>
  <c r="F5" i="1"/>
  <c r="G5" i="1" s="1"/>
  <c r="L4" i="1"/>
  <c r="K4" i="1"/>
  <c r="I4" i="1"/>
  <c r="F4" i="1"/>
  <c r="G4" i="1" s="1"/>
  <c r="L2" i="1"/>
  <c r="K2" i="1"/>
  <c r="K224" i="1" s="1"/>
  <c r="F261" i="1" l="1"/>
  <c r="G261" i="1" s="1"/>
  <c r="F263" i="1"/>
  <c r="G263" i="1" s="1"/>
  <c r="L263" i="1"/>
  <c r="L261" i="1"/>
  <c r="F262" i="1"/>
  <c r="G262" i="1" s="1"/>
  <c r="F264" i="1"/>
  <c r="G264" i="1" s="1"/>
  <c r="K225" i="1"/>
  <c r="K226" i="1"/>
  <c r="I262" i="1"/>
  <c r="I264" i="1"/>
  <c r="K221" i="1"/>
  <c r="K227" i="1"/>
  <c r="K222" i="1"/>
  <c r="M2" i="1"/>
  <c r="K2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tc={57CDF9BE-E62D-4819-7140-67D2F5CD2D64}</author>
    <author>tc={B64071E5-7AF8-D841-F05C-3E7C9E3D4809}</author>
    <author>tc={72486BAC-544D-C631-80A5-B106B594A61A}</author>
    <author>tc={5F054BE8-323F-7D30-FA4D-711822474A9B}</author>
    <author>tc={FA93C81A-5A4E-50CB-B45C-AF1AF48D2D29}</author>
    <author>tc={3906CC23-985C-CBEB-726B-33802E7BE961}</author>
    <author>tc={CCB00036-E26C-3F41-09BC-8C2B82E0BDD5}</author>
    <author>tc={2045A120-10E5-6282-3185-B42E07914C9C}</author>
    <author>tc={005C00BD-0011-4755-8DD8-0084006A0027}</author>
    <author>tc={C41475F9-AE7C-762B-CA34-39D38259E2F3}</author>
    <author>tc={80AA9A28-AA93-CB3A-20A6-027DBA8CC84A}</author>
    <author>tc={9F3B20A8-FD82-0E7F-9CF3-DCCAD2BD7A25}</author>
    <author>tc={EBB95560-A12D-BF35-E3AD-E221B1474B8A}</author>
    <author>tc={BE7D5545-A03E-435B-7F64-7EA11BBC5DCF}</author>
  </authors>
  <commentList>
    <comment ref="A7" authorId="0" shapeId="0" xr:uid="{57CDF9BE-E62D-4819-7140-67D2F5CD2D64}">
      <text>
        <r>
          <rPr>
            <b/>
            <sz val="9"/>
            <rFont val="Tahoma"/>
          </rPr>
          <t>Илья Олейников:</t>
        </r>
        <r>
          <rPr>
            <sz val="9"/>
            <rFont val="Tahoma"/>
          </rPr>
          <t xml:space="preserve">
Кейс в комплекте поставки
</t>
        </r>
      </text>
    </comment>
    <comment ref="A19" authorId="1" shapeId="0" xr:uid="{B64071E5-7AF8-D841-F05C-3E7C9E3D4809}">
      <text>
        <r>
          <rPr>
            <b/>
            <sz val="9"/>
            <rFont val="Tahoma"/>
          </rPr>
          <t>Илья Олейников:</t>
        </r>
        <r>
          <rPr>
            <sz val="9"/>
            <rFont val="Tahoma"/>
          </rPr>
          <t xml:space="preserve">
Кейс в комплекте поставки
</t>
        </r>
      </text>
    </comment>
    <comment ref="A20" authorId="2" shapeId="0" xr:uid="{72486BAC-544D-C631-80A5-B106B594A61A}">
      <text>
        <r>
          <rPr>
            <b/>
            <sz val="9"/>
            <rFont val="Tahoma"/>
          </rPr>
          <t>Илья Олейников:</t>
        </r>
        <r>
          <rPr>
            <sz val="9"/>
            <rFont val="Tahoma"/>
          </rPr>
          <t xml:space="preserve">
Кейс в комплекте поставки
</t>
        </r>
      </text>
    </comment>
    <comment ref="A21" authorId="3" shapeId="0" xr:uid="{5F054BE8-323F-7D30-FA4D-711822474A9B}">
      <text>
        <r>
          <rPr>
            <b/>
            <sz val="9"/>
            <rFont val="Tahoma"/>
          </rPr>
          <t>Илья Олейников:</t>
        </r>
        <r>
          <rPr>
            <sz val="9"/>
            <rFont val="Tahoma"/>
          </rPr>
          <t xml:space="preserve">
Кейс в комплекте поставки
</t>
        </r>
      </text>
    </comment>
    <comment ref="A31" authorId="4" shapeId="0" xr:uid="{FA93C81A-5A4E-50CB-B45C-AF1AF48D2D29}">
      <text>
        <r>
          <rPr>
            <b/>
            <sz val="9"/>
            <rFont val="Tahoma"/>
          </rPr>
          <t>Илья Олейников:</t>
        </r>
        <r>
          <rPr>
            <sz val="9"/>
            <rFont val="Tahoma"/>
          </rPr>
          <t xml:space="preserve">
Кейс в комплекте поставки
</t>
        </r>
      </text>
    </comment>
    <comment ref="A32" authorId="5" shapeId="0" xr:uid="{3906CC23-985C-CBEB-726B-33802E7BE961}">
      <text>
        <r>
          <rPr>
            <b/>
            <sz val="9"/>
            <rFont val="Tahoma"/>
          </rPr>
          <t>Илья Олейников:</t>
        </r>
        <r>
          <rPr>
            <sz val="9"/>
            <rFont val="Tahoma"/>
          </rPr>
          <t xml:space="preserve">
Кейс в комплекте поставки
</t>
        </r>
      </text>
    </comment>
    <comment ref="A33" authorId="6" shapeId="0" xr:uid="{CCB00036-E26C-3F41-09BC-8C2B82E0BDD5}">
      <text>
        <r>
          <rPr>
            <b/>
            <sz val="9"/>
            <rFont val="Tahoma"/>
          </rPr>
          <t>Илья Олейников:</t>
        </r>
        <r>
          <rPr>
            <sz val="9"/>
            <rFont val="Tahoma"/>
          </rPr>
          <t xml:space="preserve">
Кейс в комплекте поставки
</t>
        </r>
      </text>
    </comment>
    <comment ref="A41" authorId="7" shapeId="0" xr:uid="{2045A120-10E5-6282-3185-B42E07914C9C}">
      <text>
        <r>
          <rPr>
            <b/>
            <sz val="9"/>
            <rFont val="Tahoma"/>
          </rPr>
          <t>Илья Олейников:</t>
        </r>
        <r>
          <rPr>
            <sz val="9"/>
            <rFont val="Tahoma"/>
          </rPr>
          <t xml:space="preserve">
Кейс в комплекте поставки
</t>
        </r>
      </text>
    </comment>
    <comment ref="A42" authorId="8" shapeId="0" xr:uid="{005C00BD-0011-4755-8DD8-0084006A0027}">
      <text>
        <r>
          <rPr>
            <b/>
            <sz val="9"/>
            <rFont val="Tahoma"/>
          </rPr>
          <t>Ilya Oleynikoff:</t>
        </r>
        <r>
          <rPr>
            <sz val="9"/>
            <rFont val="Tahoma"/>
          </rPr>
          <t xml:space="preserve">
Кейс на 2 прибора - в комплекте поставки!
</t>
        </r>
      </text>
    </comment>
    <comment ref="A58" authorId="9" shapeId="0" xr:uid="{C41475F9-AE7C-762B-CA34-39D38259E2F3}">
      <text>
        <r>
          <rPr>
            <b/>
            <sz val="9"/>
            <rFont val="Tahoma"/>
          </rPr>
          <t>Илья Олейников:</t>
        </r>
        <r>
          <rPr>
            <sz val="9"/>
            <rFont val="Tahoma"/>
          </rPr>
          <t xml:space="preserve">
Кейс в комплекте поставки
</t>
        </r>
      </text>
    </comment>
    <comment ref="A62" authorId="10" shapeId="0" xr:uid="{80AA9A28-AA93-CB3A-20A6-027DBA8CC84A}">
      <text>
        <r>
          <rPr>
            <b/>
            <sz val="9"/>
            <rFont val="Tahoma"/>
          </rPr>
          <t>Илья Олейников:</t>
        </r>
        <r>
          <rPr>
            <sz val="9"/>
            <rFont val="Tahoma"/>
          </rPr>
          <t xml:space="preserve">
Кейс в комплекте поставки
</t>
        </r>
      </text>
    </comment>
    <comment ref="A63" authorId="11" shapeId="0" xr:uid="{9F3B20A8-FD82-0E7F-9CF3-DCCAD2BD7A25}">
      <text>
        <r>
          <rPr>
            <b/>
            <sz val="9"/>
            <rFont val="Tahoma"/>
          </rPr>
          <t>Илья Олейников:</t>
        </r>
        <r>
          <rPr>
            <sz val="9"/>
            <rFont val="Tahoma"/>
          </rPr>
          <t xml:space="preserve">
Кейс в комплекте поставки
</t>
        </r>
      </text>
    </comment>
    <comment ref="A64" authorId="12" shapeId="0" xr:uid="{EBB95560-A12D-BF35-E3AD-E221B1474B8A}">
      <text>
        <r>
          <rPr>
            <b/>
            <sz val="9"/>
            <rFont val="Tahoma"/>
          </rPr>
          <t>Илья Олейников:</t>
        </r>
        <r>
          <rPr>
            <sz val="9"/>
            <rFont val="Tahoma"/>
          </rPr>
          <t xml:space="preserve">
Кейс в комплекте поставки
</t>
        </r>
      </text>
    </comment>
    <comment ref="C142" authorId="13" shapeId="0" xr:uid="{BE7D5545-A03E-435B-7F64-7EA11BBC5DCF}">
      <text>
        <r>
          <rPr>
            <b/>
            <sz val="9"/>
            <rFont val="Tahoma"/>
          </rPr>
          <t>Илья Олейников:</t>
        </r>
        <r>
          <rPr>
            <sz val="9"/>
            <rFont val="Tahoma"/>
          </rPr>
          <t xml:space="preserve">
121° для RGB диодов и 89° для белых диодов
</t>
        </r>
      </text>
    </comment>
  </commentList>
</comments>
</file>

<file path=xl/sharedStrings.xml><?xml version="1.0" encoding="utf-8"?>
<sst xmlns="http://schemas.openxmlformats.org/spreadsheetml/2006/main" count="982" uniqueCount="628">
  <si>
    <t>КЛАСС / АРТИКУЛ</t>
  </si>
  <si>
    <t>ЦВЕТ</t>
  </si>
  <si>
    <t>УГОЛ</t>
  </si>
  <si>
    <t>ХАРАКТЕРИСТИКИ</t>
  </si>
  <si>
    <t>ВЕС,кг</t>
  </si>
  <si>
    <t>Дилер, ¥</t>
  </si>
  <si>
    <t>с НДС, ¥</t>
  </si>
  <si>
    <t>ДИЛЕР, ₽</t>
  </si>
  <si>
    <t>с НДС, ₽</t>
  </si>
  <si>
    <t>РРЦ, ₽</t>
  </si>
  <si>
    <t>СКИДКА</t>
  </si>
  <si>
    <t>ЗАКРЫВАШКИ</t>
  </si>
  <si>
    <t>ДИНАМИЧЕСКИЕ ПРИБОРЫ</t>
  </si>
  <si>
    <t>Beam:</t>
  </si>
  <si>
    <t> </t>
  </si>
  <si>
    <r>
      <rPr>
        <sz val="11"/>
        <rFont val="Arial"/>
      </rPr>
      <t xml:space="preserve">B100L </t>
    </r>
    <r>
      <rPr>
        <sz val="11"/>
        <color indexed="2"/>
        <rFont val="Arial"/>
      </rPr>
      <t>(Новинка!!!)</t>
    </r>
  </si>
  <si>
    <t>белый лазер</t>
  </si>
  <si>
    <t>0,8°</t>
  </si>
  <si>
    <t>10 цветов, гобо 17+12 (опция), призма 8 гр., фрост; 720 000 lux@10m; RDM (опция)</t>
  </si>
  <si>
    <t>Закрывашка</t>
  </si>
  <si>
    <r>
      <rPr>
        <sz val="11"/>
        <rFont val="Arial"/>
      </rPr>
      <t xml:space="preserve">B100LCMY </t>
    </r>
    <r>
      <rPr>
        <sz val="11"/>
        <color indexed="2"/>
        <rFont val="Arial"/>
      </rPr>
      <t>(Новинка!!!)</t>
    </r>
  </si>
  <si>
    <t>14 цветов, гобо 17+12 (опция), призма 8 гр., фрост; 720 000 lux@10m; CMY+CTO; RDM (опция)</t>
  </si>
  <si>
    <t>B200</t>
  </si>
  <si>
    <t>RGBW</t>
  </si>
  <si>
    <t>2°</t>
  </si>
  <si>
    <t>14 цветов, 14 гобо, 1 призма 48 граней</t>
  </si>
  <si>
    <t>B250Arc Pro</t>
  </si>
  <si>
    <t>1,8°</t>
  </si>
  <si>
    <t>13 цветов, 10+4 гобо, призма 8+16 гр. +color-plate 6 цв., фрост</t>
  </si>
  <si>
    <r>
      <rPr>
        <sz val="11"/>
        <color theme="1"/>
        <rFont val="Arial"/>
      </rPr>
      <t xml:space="preserve">B300L IP66 </t>
    </r>
    <r>
      <rPr>
        <sz val="11"/>
        <color indexed="2"/>
        <rFont val="Arial"/>
      </rPr>
      <t>(Новинка!!!)</t>
    </r>
  </si>
  <si>
    <t>0,6°</t>
  </si>
  <si>
    <t>14 цв.,17/34 гобо,призма 8/24 гр., фрост</t>
  </si>
  <si>
    <r>
      <rPr>
        <sz val="11"/>
        <color theme="1"/>
        <rFont val="Arial"/>
      </rPr>
      <t xml:space="preserve">B300LCMY IP66 </t>
    </r>
    <r>
      <rPr>
        <sz val="11"/>
        <color indexed="2"/>
        <rFont val="Arial"/>
      </rPr>
      <t>Новинка!</t>
    </r>
  </si>
  <si>
    <t>14 цв.+CMY; 17/34 гобо,призма 8/24 гр., фрост</t>
  </si>
  <si>
    <t>B300L IP66</t>
  </si>
  <si>
    <t>RGB-лазер</t>
  </si>
  <si>
    <t>14 цв.,17 гобо, призма 5 гр., фрост</t>
  </si>
  <si>
    <t>B380Arс IP65</t>
  </si>
  <si>
    <t>2-5°</t>
  </si>
  <si>
    <r>
      <t xml:space="preserve">13+2 цв., 17 гобо, </t>
    </r>
    <r>
      <rPr>
        <sz val="11"/>
        <rFont val="Arial"/>
      </rPr>
      <t>призма 8 гр.,</t>
    </r>
    <r>
      <rPr>
        <sz val="11"/>
        <color theme="1"/>
        <rFont val="Arial"/>
      </rPr>
      <t xml:space="preserve"> фрост</t>
    </r>
  </si>
  <si>
    <t>B420Arc</t>
  </si>
  <si>
    <t>1,5°</t>
  </si>
  <si>
    <t>14 цветов+CRI, 2 призмы</t>
  </si>
  <si>
    <t>B480L IP66</t>
  </si>
  <si>
    <t>14 цв., 17 гобо, призма 5 гр., фрост</t>
  </si>
  <si>
    <t>Spot:</t>
  </si>
  <si>
    <t>S230</t>
  </si>
  <si>
    <t>11-25°</t>
  </si>
  <si>
    <t>7 цветов, 2 гобо 7+7, 2 призмы 6+5 гр.</t>
  </si>
  <si>
    <r>
      <rPr>
        <sz val="11"/>
        <color theme="1"/>
        <rFont val="Arial"/>
      </rPr>
      <t xml:space="preserve">S300 </t>
    </r>
    <r>
      <rPr>
        <sz val="11"/>
        <color indexed="2"/>
        <rFont val="Arial"/>
      </rPr>
      <t>(Новинка!!!)</t>
    </r>
  </si>
  <si>
    <t>9-42°</t>
  </si>
  <si>
    <t>9 цв.; гобо 10+7; призма 3 гр.; RDM</t>
  </si>
  <si>
    <t>S300CMY</t>
  </si>
  <si>
    <t>RGBW+CMY</t>
  </si>
  <si>
    <t>7-31°</t>
  </si>
  <si>
    <r>
      <t>9 цв+CMY,гобо10+7,призма 8 гр,</t>
    </r>
    <r>
      <rPr>
        <sz val="11"/>
        <rFont val="Arial"/>
      </rPr>
      <t>фрост</t>
    </r>
  </si>
  <si>
    <t>S400CMY</t>
  </si>
  <si>
    <t>4-50°</t>
  </si>
  <si>
    <r>
      <t xml:space="preserve">8 цв+CMY,гобо 12+7, 2 призмы 6+8 гр., </t>
    </r>
    <r>
      <rPr>
        <sz val="11"/>
        <rFont val="Arial"/>
      </rPr>
      <t>фрост</t>
    </r>
  </si>
  <si>
    <t>S650CMY Pro</t>
  </si>
  <si>
    <t>6-56°</t>
  </si>
  <si>
    <t>7цв.+CMY+CRI, гобо 7+7+8, 2 призмы 6+4 гр., 2 фрост</t>
  </si>
  <si>
    <t>S800CMY Pro</t>
  </si>
  <si>
    <t>5-58°</t>
  </si>
  <si>
    <t>7цв.+CMY+CRI, гобо 6+6+9, призма 4 гр, фрост, анимация</t>
  </si>
  <si>
    <t>S1000CMY Pro</t>
  </si>
  <si>
    <t>Wash:</t>
  </si>
  <si>
    <t>W0740Z</t>
  </si>
  <si>
    <t>5-50°</t>
  </si>
  <si>
    <t>4 кривых, RDM</t>
  </si>
  <si>
    <t>W0740B</t>
  </si>
  <si>
    <t>7-34°</t>
  </si>
  <si>
    <t>B-Eye, RDM</t>
  </si>
  <si>
    <t>W0740ZP</t>
  </si>
  <si>
    <t>5-70°</t>
  </si>
  <si>
    <t>PixelControl - 38 макросов;4 кривых+5 режимов, CTO; RDM; Art-Net, sACN</t>
  </si>
  <si>
    <t>W0760B</t>
  </si>
  <si>
    <t>4,5-45°</t>
  </si>
  <si>
    <t>B-Eye; Ring, CTO: 2 800 - 8 500K</t>
  </si>
  <si>
    <t>W0760BZ IP65</t>
  </si>
  <si>
    <t>4-60°</t>
  </si>
  <si>
    <t xml:space="preserve">B-Eye; </t>
  </si>
  <si>
    <r>
      <rPr>
        <sz val="11"/>
        <rFont val="Arial"/>
      </rPr>
      <t>W0760AZ</t>
    </r>
    <r>
      <rPr>
        <sz val="11"/>
        <color indexed="2"/>
        <rFont val="Arial"/>
      </rPr>
      <t xml:space="preserve"> (Новинка!!!)</t>
    </r>
  </si>
  <si>
    <t>6-50°</t>
  </si>
  <si>
    <t xml:space="preserve">Aura; </t>
  </si>
  <si>
    <t>W1240Z</t>
  </si>
  <si>
    <t>Zoom</t>
  </si>
  <si>
    <t>W1240B</t>
  </si>
  <si>
    <t>8-40°</t>
  </si>
  <si>
    <t>B-Eye</t>
  </si>
  <si>
    <t>W1240ZP Pro</t>
  </si>
  <si>
    <t>W1260ZP Pro</t>
  </si>
  <si>
    <t>4,5-54°</t>
  </si>
  <si>
    <t>PixelControl;4 кривых+5 режимов, CTO; RDM; Art-Net, sACN</t>
  </si>
  <si>
    <t>W1260С7ZP Pro</t>
  </si>
  <si>
    <t>RGBACLL</t>
  </si>
  <si>
    <t>PixelControl;4 кривых+5 режимов, CTO; RDM; Art-Net, sACN; Hi CRI</t>
  </si>
  <si>
    <t>W1915Z</t>
  </si>
  <si>
    <t>10-60°</t>
  </si>
  <si>
    <t>Ring Control; CTO</t>
  </si>
  <si>
    <t>W1915B</t>
  </si>
  <si>
    <t>W1925ZR</t>
  </si>
  <si>
    <t>3 Rings; CTO; RDM</t>
  </si>
  <si>
    <t>W1940Z</t>
  </si>
  <si>
    <t>W1940B</t>
  </si>
  <si>
    <t>8-45°</t>
  </si>
  <si>
    <t>W1940C7RZ</t>
  </si>
  <si>
    <t>3 Rings; CRI 98; CTO</t>
  </si>
  <si>
    <t>W1940B IP65</t>
  </si>
  <si>
    <t>7-42°</t>
  </si>
  <si>
    <t>B-Eye; 4 кривых</t>
  </si>
  <si>
    <t>W1940P Pro IP65</t>
  </si>
  <si>
    <t>4,5-52°</t>
  </si>
  <si>
    <t>3 Rings;4 кривых+5 режимов, CTO; RDM</t>
  </si>
  <si>
    <t>W1940B Pro IP66</t>
  </si>
  <si>
    <t>B-Eye;</t>
  </si>
  <si>
    <t>W1940Z IP67</t>
  </si>
  <si>
    <r>
      <t xml:space="preserve">3 Rings; </t>
    </r>
    <r>
      <rPr>
        <sz val="11"/>
        <rFont val="Arial"/>
      </rPr>
      <t>RDM</t>
    </r>
  </si>
  <si>
    <t>W1960BZ IP65</t>
  </si>
  <si>
    <t>W3618C6Z</t>
  </si>
  <si>
    <t>RGBWA-Uv</t>
  </si>
  <si>
    <t>Потребляемая мощность: 360 Вт</t>
  </si>
  <si>
    <t>W3720C6RZ</t>
  </si>
  <si>
    <t>RGBACL</t>
  </si>
  <si>
    <t>3 Rings; CTO</t>
  </si>
  <si>
    <t>W3740B</t>
  </si>
  <si>
    <t>4-55°</t>
  </si>
  <si>
    <t>PixelControl;4 кривых + 2 режима, RDM</t>
  </si>
  <si>
    <t>W3740BZ</t>
  </si>
  <si>
    <t>B-Eye;CTO; 4 кривых + 2 режима, RDM</t>
  </si>
  <si>
    <t>BSW:</t>
  </si>
  <si>
    <r>
      <rPr>
        <sz val="11"/>
        <color theme="1"/>
        <rFont val="Arial"/>
      </rPr>
      <t xml:space="preserve">BSW250 </t>
    </r>
    <r>
      <rPr>
        <sz val="11"/>
        <color indexed="2"/>
        <rFont val="Arial"/>
      </rPr>
      <t>(Новинка!!!)</t>
    </r>
  </si>
  <si>
    <t>7-50°</t>
  </si>
  <si>
    <t>9 цв., Гобо 8+7, призма 3 гр., RDM</t>
  </si>
  <si>
    <t>BSW360CMY</t>
  </si>
  <si>
    <t>7 цв.+CMY; гобо 5+3 и 7+1; 2 призмы 8+6; фрост; RDM</t>
  </si>
  <si>
    <t>BSW380ArcCMY IP66</t>
  </si>
  <si>
    <t>3-55°</t>
  </si>
  <si>
    <r>
      <t>14+1 цв.,12 гоб</t>
    </r>
    <r>
      <rPr>
        <sz val="11"/>
        <rFont val="Arial"/>
      </rPr>
      <t>о, призма 8 гр</t>
    </r>
    <r>
      <rPr>
        <sz val="11"/>
        <color theme="1"/>
        <rFont val="Arial"/>
      </rPr>
      <t>.,фрост</t>
    </r>
  </si>
  <si>
    <t>BSW400CMY</t>
  </si>
  <si>
    <t>7 цв.+CMY+CTO, 13 гобо+анимация, 1 призма, 1 фрост, RDM, SACN Wireless и Art-Net, CRI≥73</t>
  </si>
  <si>
    <t>BSW400HCMY (Hi CRI)</t>
  </si>
  <si>
    <t>7 цв.+CMY+CTO, 13 гобо+анимация, 1 призма, 1 фрост, RDM, SACN Wireless и Art-Net, CRI≥95</t>
  </si>
  <si>
    <t>BSWF450CMY</t>
  </si>
  <si>
    <t>7 цв.+CMY+CTO, 13 гобо+анимация, 1 призма, 1 фрост, фрейм-система 75°, RDM, SACN Wireless и Art-Net, CRI≥73</t>
  </si>
  <si>
    <t>BSWF450HCMY (Hi CRI)</t>
  </si>
  <si>
    <t>7 цв.+CMY+CTO, 13 гобо+анимация, 1 призма, 1 фрост, фрейм-система 75°, RDM, SACN Wireless и Art-Net, CRI≥95</t>
  </si>
  <si>
    <t>BSWL480CMY IP66</t>
  </si>
  <si>
    <t>4-40°</t>
  </si>
  <si>
    <t>25 цветов+CMY, 29 гобо, призма 5/8 гр, фрост</t>
  </si>
  <si>
    <t>BSWF650CMY Pro</t>
  </si>
  <si>
    <t>Hi CRI/Hi Br; 7 цв.+CMY; гобо 7+8; 2 призмы 4+6 гр.; framing 360°; 2 фроста; 4 кривых+4 режима; RDM; Art-Net, sACN</t>
  </si>
  <si>
    <t>BSW750CMY</t>
  </si>
  <si>
    <t>4,5-50°</t>
  </si>
  <si>
    <t xml:space="preserve">7 цв.+CMY+CTO, 14 гобо+анимация, 2 призмы, 2 фроста,RDM, SACN Wireless и Art-Net </t>
  </si>
  <si>
    <t>BSWF750CMY</t>
  </si>
  <si>
    <t xml:space="preserve">7 цв.+CMY+CTO, 14 гобо+анимация, 2 призмы, 2 фроста, profile, RDM, SACN Wireless и Art-Net </t>
  </si>
  <si>
    <t>BSWF750HCMY</t>
  </si>
  <si>
    <t>BSWF800CMY IP65</t>
  </si>
  <si>
    <t>5-55°</t>
  </si>
  <si>
    <t>6 цв.+CMY+СТО; гобо 6+6; анимация; призма 3 гр.; framing 4х90°; фрост; RDM</t>
  </si>
  <si>
    <t>BSWF1000CMY Plus</t>
  </si>
  <si>
    <t>Hi CRI/Hi Br; 7 цв.+CMY; гобо 7; анимация; 2 призмы 4+6 гр.; framing 360°; 2 фроста; 4 кривых+4 режима; RDM; Art-Net, sACN</t>
  </si>
  <si>
    <t>BSWF1000CMY Pro</t>
  </si>
  <si>
    <t>Hi CRI/Hi Br; 7 цв.+CMY; гобо 6+9; анимация; призма ?гр.;framing 360°; фрост; 4 кривых+4 режима; RDM; Art-Net, sACN</t>
  </si>
  <si>
    <t>BSW1200CMY</t>
  </si>
  <si>
    <t>6 цв.+CMY+CTO, 14 гобо, 1 призма, 2 фрост, RDM, SACN Wireless и Art-Net, Бесшумный режим</t>
  </si>
  <si>
    <t>BSWF1200CMY</t>
  </si>
  <si>
    <t>6 цв.+CMY+CTO, 14 гобо, 1 призма, 2 фрост, RDM, SACN Wireless и Art-Net, Бесшумный режим, framing 4х75°</t>
  </si>
  <si>
    <t>BSWF1200HCMY</t>
  </si>
  <si>
    <t>BSWF1200CMY IP65</t>
  </si>
  <si>
    <t>BSWF1400CMY Pro</t>
  </si>
  <si>
    <t>7 цв.+CMY; гобо 6+7; анимация;  4 гр. призма; framing 360°; 2 фроста; 4 кривых+4 режима; RDM; Art-Net, sACN</t>
  </si>
  <si>
    <t>BSWF1500CMY Pro</t>
  </si>
  <si>
    <t>BSWF1600CMY Pro</t>
  </si>
  <si>
    <t>Hi CRI/Hi Br; 7 цв.+CMY; гобо 2х6; анимация; 2 призмы; framing 360°; 2 фроста; 4 кривых+4 режима; RDM; Art-Net, sACN</t>
  </si>
  <si>
    <t>СТАТИЧЕСКИЕ ПРИБОРЫ</t>
  </si>
  <si>
    <t>Par:</t>
  </si>
  <si>
    <t>P0740ZC4 IP65</t>
  </si>
  <si>
    <t>3-60°</t>
  </si>
  <si>
    <t>RDM</t>
  </si>
  <si>
    <t>P1915CMY Pro IP65</t>
  </si>
  <si>
    <t>RGBW/CMY</t>
  </si>
  <si>
    <t>8/15/25/45°</t>
  </si>
  <si>
    <t>4 кривых, RDM, 2400K-8500K, 12 240Lux@5m (8°）</t>
  </si>
  <si>
    <t>P1220С6 Pro IP65</t>
  </si>
  <si>
    <t>RGBALC</t>
  </si>
  <si>
    <t>6/15/25/36°</t>
  </si>
  <si>
    <t>4 кривых, RDM, 2400K-8500K, 11 475Lux@5m (6°）</t>
  </si>
  <si>
    <t>СP0745С4</t>
  </si>
  <si>
    <t>25°</t>
  </si>
  <si>
    <t>0-100% /1-25 всп. в сек., каналы 9/12/33</t>
  </si>
  <si>
    <t>PS1810C4</t>
  </si>
  <si>
    <t>25°/45°</t>
  </si>
  <si>
    <t>слим-пар (таблетка)</t>
  </si>
  <si>
    <t>PS1815C5</t>
  </si>
  <si>
    <t>RGBWA</t>
  </si>
  <si>
    <t>PS1818C6</t>
  </si>
  <si>
    <t>RGBWA+Uv</t>
  </si>
  <si>
    <t>PS2418C6</t>
  </si>
  <si>
    <t>P1810ZC6</t>
  </si>
  <si>
    <t>10-55°</t>
  </si>
  <si>
    <t>RDM, опционально: RGBWA-Uv, IP65</t>
  </si>
  <si>
    <t>P2410ZC6</t>
  </si>
  <si>
    <t>P1518ZC6 IP65</t>
  </si>
  <si>
    <t>5-45°</t>
  </si>
  <si>
    <t>RDM, опционально: RGBWA-Uv</t>
  </si>
  <si>
    <r>
      <rPr>
        <sz val="11"/>
        <color theme="1"/>
        <rFont val="Arial"/>
      </rPr>
      <t xml:space="preserve">P1920ZC6 </t>
    </r>
    <r>
      <rPr>
        <sz val="11"/>
        <color indexed="2"/>
        <rFont val="Arial"/>
      </rPr>
      <t>(Новинка!!!)</t>
    </r>
  </si>
  <si>
    <t>5-60°</t>
  </si>
  <si>
    <t>Cтекл. оптика, Hi CRI, плавный зум</t>
  </si>
  <si>
    <r>
      <rPr>
        <sz val="11"/>
        <color theme="1"/>
        <rFont val="Arial"/>
      </rPr>
      <t xml:space="preserve">P1920ZC4 IP65 </t>
    </r>
    <r>
      <rPr>
        <sz val="11"/>
        <color indexed="2"/>
        <rFont val="Arial"/>
      </rPr>
      <t>(Новинка)</t>
    </r>
  </si>
  <si>
    <t>Низкий уровень шума</t>
  </si>
  <si>
    <r>
      <rPr>
        <sz val="11"/>
        <color theme="1"/>
        <rFont val="Arial"/>
      </rPr>
      <t xml:space="preserve">P1240ZC7 IP65 </t>
    </r>
    <r>
      <rPr>
        <sz val="11"/>
        <color indexed="2"/>
        <rFont val="Arial"/>
      </rPr>
      <t>(Новинка)</t>
    </r>
  </si>
  <si>
    <t>Cob:</t>
  </si>
  <si>
    <t>CP0245C2</t>
  </si>
  <si>
    <t>CW+WW</t>
  </si>
  <si>
    <t>12/36°</t>
  </si>
  <si>
    <t>Индивидуальное управление диодами</t>
  </si>
  <si>
    <t>CP0245C4</t>
  </si>
  <si>
    <t>COB100D</t>
  </si>
  <si>
    <t>60°</t>
  </si>
  <si>
    <t>барндур в комплекте</t>
  </si>
  <si>
    <t>COB150MZ IP65</t>
  </si>
  <si>
    <t>CW/WW</t>
  </si>
  <si>
    <t>15-55°</t>
  </si>
  <si>
    <t>авто-зум, 3200/5600K, CRI 98, R9≥92, линза Френеля</t>
  </si>
  <si>
    <t>COB150C5MZ IP65</t>
  </si>
  <si>
    <t>авто-зум, линза Френеля</t>
  </si>
  <si>
    <t>COB150MZ</t>
  </si>
  <si>
    <t>25-80°</t>
  </si>
  <si>
    <t>ручной зум, барндур, 3200/5600K, RDM ; CRI 96, R9≥90, TLCI 98, CQS 94</t>
  </si>
  <si>
    <t>COB150C5MZ</t>
  </si>
  <si>
    <t>ручной зум, барндур, 3000-8000K, RDM</t>
  </si>
  <si>
    <t>COB200</t>
  </si>
  <si>
    <t>COB200D</t>
  </si>
  <si>
    <t>COB200C5</t>
  </si>
  <si>
    <t>COB250Z IP65</t>
  </si>
  <si>
    <t>Bar:</t>
  </si>
  <si>
    <t>BR1815C6P IP65</t>
  </si>
  <si>
    <t>15/25/45°</t>
  </si>
  <si>
    <t>PixelControl</t>
  </si>
  <si>
    <t>BR1620C6P IP65</t>
  </si>
  <si>
    <t>PixelControl, RDM, пассив. охлаждение</t>
  </si>
  <si>
    <t>BR1820C6</t>
  </si>
  <si>
    <t>Фрост-линза; RGBWA-Uv опционально</t>
  </si>
  <si>
    <t>BR1820C6 IP65</t>
  </si>
  <si>
    <t>6/15/25/45°</t>
  </si>
  <si>
    <t>BR2415C6</t>
  </si>
  <si>
    <t>15/25°</t>
  </si>
  <si>
    <t>BR0560ZPXY</t>
  </si>
  <si>
    <t>3,5-40°</t>
  </si>
  <si>
    <t>Pan/Tilt, PixelControl</t>
  </si>
  <si>
    <t>BR1225C5P</t>
  </si>
  <si>
    <t>60/80°</t>
  </si>
  <si>
    <t>BR1240ZPX</t>
  </si>
  <si>
    <t>3,5-38°</t>
  </si>
  <si>
    <t>Tilt, PixelControl</t>
  </si>
  <si>
    <t>BR0545C3 IP65</t>
  </si>
  <si>
    <t>RGB</t>
  </si>
  <si>
    <t>24°</t>
  </si>
  <si>
    <t>BR1045C3 IP65</t>
  </si>
  <si>
    <t>10/25/36°</t>
  </si>
  <si>
    <t>BR1060ZPX</t>
  </si>
  <si>
    <t>BR1840ZPX</t>
  </si>
  <si>
    <t>4-45°</t>
  </si>
  <si>
    <t>Tilt, PixelControl;  IP20/IP65 опция</t>
  </si>
  <si>
    <t>BR2040ZPX IP65</t>
  </si>
  <si>
    <t>LED Wall Washer:</t>
  </si>
  <si>
    <t>WW2415C4</t>
  </si>
  <si>
    <t>15/25/40°</t>
  </si>
  <si>
    <t>Ресурс источника света: 100,000 часов</t>
  </si>
  <si>
    <t>WW2420C6 IP65</t>
  </si>
  <si>
    <t>25/35/45°</t>
  </si>
  <si>
    <t>RDM, W-DMX wireless (опция), диффузор и барндур (опция)</t>
  </si>
  <si>
    <t>WW4820C6 IP65</t>
  </si>
  <si>
    <t>WW3615C6 IP65</t>
  </si>
  <si>
    <t>20/30/38°</t>
  </si>
  <si>
    <t>Барндур, козырёк и фильтр-линза - опционально</t>
  </si>
  <si>
    <t>WW4415C6 IP65</t>
  </si>
  <si>
    <t>25/45°</t>
  </si>
  <si>
    <t>Soft Panel:</t>
  </si>
  <si>
    <t>SP200CD</t>
  </si>
  <si>
    <t>120°</t>
  </si>
  <si>
    <t>3200-5600K</t>
  </si>
  <si>
    <t>SP250CD</t>
  </si>
  <si>
    <t>SP250CD Pro</t>
  </si>
  <si>
    <t>CRI ≥95, R9≥93; 3200-5600K, fanless</t>
  </si>
  <si>
    <t>Blinder:</t>
  </si>
  <si>
    <t>BL02100</t>
  </si>
  <si>
    <t>WW</t>
  </si>
  <si>
    <t>30°</t>
  </si>
  <si>
    <t>2х100Вт;</t>
  </si>
  <si>
    <t>BL04100</t>
  </si>
  <si>
    <t>4х100Вт;</t>
  </si>
  <si>
    <t>BL02110WWR</t>
  </si>
  <si>
    <t>Red+WW</t>
  </si>
  <si>
    <t>80°</t>
  </si>
  <si>
    <t>2х110Вт; Эффект вольфрам. лампы</t>
  </si>
  <si>
    <t>BL02120C4</t>
  </si>
  <si>
    <t xml:space="preserve">2х120Вт; </t>
  </si>
  <si>
    <t>BL02200D IP65</t>
  </si>
  <si>
    <t>2х200Вт; CRI: 90-95</t>
  </si>
  <si>
    <t>BL02200C4 IP65</t>
  </si>
  <si>
    <t>2х200Вт; Citizen COB, линза Френеля</t>
  </si>
  <si>
    <t>Ciclorama:</t>
  </si>
  <si>
    <t>CYC175</t>
  </si>
  <si>
    <t>175 Вт., CRI 98, R9≥93, TLCI 98, RDM, 4 кривых диммера</t>
  </si>
  <si>
    <t>CYC175C4</t>
  </si>
  <si>
    <t>175 Вт., RDM, 4 кривых диммера</t>
  </si>
  <si>
    <t>CYC210C5</t>
  </si>
  <si>
    <t>RGBLI</t>
  </si>
  <si>
    <t>210 Вт.</t>
  </si>
  <si>
    <t>Strobe:</t>
  </si>
  <si>
    <t>BR400 IP65</t>
  </si>
  <si>
    <t>до 110° frost</t>
  </si>
  <si>
    <t>Строб-бар 350Вт,48 секций, frost; RDM, 4 кривых</t>
  </si>
  <si>
    <t>ST1200C4 IP65</t>
  </si>
  <si>
    <t>22°</t>
  </si>
  <si>
    <t>Tilt 185°</t>
  </si>
  <si>
    <t>ST1000PX</t>
  </si>
  <si>
    <t>Tilt 270°</t>
  </si>
  <si>
    <t>ST3000PX IP65</t>
  </si>
  <si>
    <t>ST1200 IP65</t>
  </si>
  <si>
    <t>RDM - есть; Art-Net и W-DMX (опция)</t>
  </si>
  <si>
    <t>ST3000 IP65</t>
  </si>
  <si>
    <t>Аналог Martin Atomic 3000 Strobe; RDM</t>
  </si>
  <si>
    <t>ST300 IP65</t>
  </si>
  <si>
    <t>121°+89°</t>
  </si>
  <si>
    <t>Аналог ADJ Jolt Panel; RDM</t>
  </si>
  <si>
    <t>Мощность</t>
  </si>
  <si>
    <t>ТЕАТРАЛЬНЫЕ ПРИБОРЫ</t>
  </si>
  <si>
    <t>Follow Spot:</t>
  </si>
  <si>
    <t>FS350</t>
  </si>
  <si>
    <t>5 цветов</t>
  </si>
  <si>
    <t>10°</t>
  </si>
  <si>
    <t>20 000-24 000 lm, CTO, кейс + штатив, ручной фокус</t>
  </si>
  <si>
    <t>FS350MZ DMX Pro</t>
  </si>
  <si>
    <t>7-13°</t>
  </si>
  <si>
    <t>20 000-24 000 lm, CTO, кейс + штатив, ручной фокус и зум</t>
  </si>
  <si>
    <t>FS500MZ DMX Mini</t>
  </si>
  <si>
    <t>5-20°</t>
  </si>
  <si>
    <t>CRI 90, CTO, 5 гобо, фрост, ирис, штатив, авто+ручной фокус и зум</t>
  </si>
  <si>
    <t>FS600MZ DMX Pro</t>
  </si>
  <si>
    <t>7 цветов</t>
  </si>
  <si>
    <t>30 000-34 000 lm, CTO, кейс + штатив, ручной фокус и зум</t>
  </si>
  <si>
    <t>FS1000MZ DMX Pro</t>
  </si>
  <si>
    <t>6-12°</t>
  </si>
  <si>
    <t>59 000-62 000 lm, CTO, кейс + штатив, ручной фокус и зум</t>
  </si>
  <si>
    <t>3,5-7°</t>
  </si>
  <si>
    <t>Комплект с кейсом и штативом</t>
  </si>
  <si>
    <t>Profile:</t>
  </si>
  <si>
    <t>PRF100DMZ</t>
  </si>
  <si>
    <t>15-30°</t>
  </si>
  <si>
    <t>PRF200D</t>
  </si>
  <si>
    <t>19,26,36°</t>
  </si>
  <si>
    <t>СRI≥90, 3200-5600К, индивидуальные настройки кривых диммера</t>
  </si>
  <si>
    <t>PRF200MZ</t>
  </si>
  <si>
    <t>18-38/25-50°</t>
  </si>
  <si>
    <t>ручной зум, CRI 96, R9≥91, TLCI≥97, 3200/5600К, RDM</t>
  </si>
  <si>
    <t>PRF200МZ_1</t>
  </si>
  <si>
    <t>CRI ≥ 97</t>
  </si>
  <si>
    <t>PRF200C5MZ Pro</t>
  </si>
  <si>
    <t>RGBAL</t>
  </si>
  <si>
    <t>15-30/25-50°</t>
  </si>
  <si>
    <t>бесшумный, RGBW+CMY (опция)</t>
  </si>
  <si>
    <t>PRF300</t>
  </si>
  <si>
    <t>19,26,36,50°</t>
  </si>
  <si>
    <t>СRI ≥90, 3200/5600К, RDM, индивидуальные настройки кривых диммера</t>
  </si>
  <si>
    <t>PRF300MZ</t>
  </si>
  <si>
    <t>19-36°</t>
  </si>
  <si>
    <t>ручной зум, СRI ≥95, 3200/5600К, RDM, 10 программ</t>
  </si>
  <si>
    <t>PRF300Z</t>
  </si>
  <si>
    <t>автозум, СRI ≥95, 3200/5600К, RDM, 10 программ</t>
  </si>
  <si>
    <t>PRF300DMZ</t>
  </si>
  <si>
    <t>ручной зум, CRI 97, R9≥97, TLCI 98, RDM, 2800-7000K,</t>
  </si>
  <si>
    <t>PRF350C6</t>
  </si>
  <si>
    <t>СRI≥90, 3000-8000К, индивидуальные настройки кривых диммера, RDM</t>
  </si>
  <si>
    <t>PRF350C6MZ</t>
  </si>
  <si>
    <t>ручной зум, СRI≥95,TLC≥95, RDM</t>
  </si>
  <si>
    <t>PRF400</t>
  </si>
  <si>
    <t>СRI ≥95, 3200/5600К, RDM, индивидуальные настройки кривых диммера</t>
  </si>
  <si>
    <t>PRF400C6MZ</t>
  </si>
  <si>
    <t>RGBYIA</t>
  </si>
  <si>
    <t>СRI ≥95, 2700-9000К, RDM, 26 000Im, уровень шума &lt; 40db, ручной зум</t>
  </si>
  <si>
    <t>PRF600D</t>
  </si>
  <si>
    <t>СRI ≥95, 3200К-5600К, RDM, индивидуальные настройки кривых диммера</t>
  </si>
  <si>
    <t>-</t>
  </si>
  <si>
    <t>Fresnel:</t>
  </si>
  <si>
    <t>FR50DMZ</t>
  </si>
  <si>
    <t>Ручной зум, RDM, CRI 95, R9≥90, TLCI 98, CQS 96</t>
  </si>
  <si>
    <t>FR100DMZ</t>
  </si>
  <si>
    <t>25-65°</t>
  </si>
  <si>
    <t>Ручной зум, 4 кривых, RDM, CRI&gt;96, R9≥94, TLCI 98, 2700K - 6000K</t>
  </si>
  <si>
    <t>FR100MZ Pro</t>
  </si>
  <si>
    <t>23-90°</t>
  </si>
  <si>
    <t>Ручной зум, 4 кривых, RDM, CRI: 97</t>
  </si>
  <si>
    <t>FR150MZ</t>
  </si>
  <si>
    <t>15-50°</t>
  </si>
  <si>
    <t>Ручной зум, СRI ≥90, бесшумный</t>
  </si>
  <si>
    <t>FR200</t>
  </si>
  <si>
    <t>58°</t>
  </si>
  <si>
    <t>СRI ≥90</t>
  </si>
  <si>
    <t>FR200DMZ</t>
  </si>
  <si>
    <t>Ручной зум,2700-6000K,4 кривых, RDM ,R9≥95, TLCI 97</t>
  </si>
  <si>
    <t>FR200C4MZ</t>
  </si>
  <si>
    <t>Ручной зум, 4 кривых, RDM, СRI≥90</t>
  </si>
  <si>
    <t>FR200Z</t>
  </si>
  <si>
    <t>Моторизованный зум, 4 кривых, RDM</t>
  </si>
  <si>
    <t>FR200DZ</t>
  </si>
  <si>
    <t>FR200С4Z</t>
  </si>
  <si>
    <t>15-60°</t>
  </si>
  <si>
    <t>FR200С6Z</t>
  </si>
  <si>
    <t>FR300Z</t>
  </si>
  <si>
    <t>8-60°</t>
  </si>
  <si>
    <t>CRI: &gt;97; 4 кривых диммера</t>
  </si>
  <si>
    <r>
      <rPr>
        <sz val="11"/>
        <rFont val="Arial"/>
      </rPr>
      <t>FR300WWZ</t>
    </r>
    <r>
      <rPr>
        <sz val="11"/>
        <color indexed="2"/>
        <rFont val="Arial"/>
      </rPr>
      <t xml:space="preserve"> (Новинка!!!)</t>
    </r>
  </si>
  <si>
    <t>8-90°</t>
  </si>
  <si>
    <t xml:space="preserve">Ra≥95; </t>
  </si>
  <si>
    <t>FR300DZ</t>
  </si>
  <si>
    <t>FR350C6Z</t>
  </si>
  <si>
    <t>20-55°</t>
  </si>
  <si>
    <t>FR400C6Z Pro</t>
  </si>
  <si>
    <t>15-75°</t>
  </si>
  <si>
    <r>
      <rPr>
        <sz val="11"/>
        <rFont val="Arial"/>
      </rPr>
      <t>FR600C6MZ IP</t>
    </r>
    <r>
      <rPr>
        <sz val="11"/>
        <color indexed="2"/>
        <rFont val="Arial"/>
      </rPr>
      <t xml:space="preserve"> (Новинка!)</t>
    </r>
  </si>
  <si>
    <t>10-90°</t>
  </si>
  <si>
    <t>Ручной зум, 4 кривых, RDM, Art-Net, sACN, CTO 2500-8000</t>
  </si>
  <si>
    <t>PC:</t>
  </si>
  <si>
    <t>PC200ZD</t>
  </si>
  <si>
    <t>СRI ≥95, 14 500lm, RDM</t>
  </si>
  <si>
    <t>PC300ZD</t>
  </si>
  <si>
    <t>СRI ≥95, 21 300lm, RDM</t>
  </si>
  <si>
    <t>PC600Z</t>
  </si>
  <si>
    <t>СRI ≥95, 44 400lm, RDM</t>
  </si>
  <si>
    <t>Aspherical:</t>
  </si>
  <si>
    <t>A100Z</t>
  </si>
  <si>
    <t>A200Z</t>
  </si>
  <si>
    <t>A600Z</t>
  </si>
  <si>
    <t>СПЕЦЭФФЕКТЫ</t>
  </si>
  <si>
    <t>Laser-Projector:</t>
  </si>
  <si>
    <t>LVP30C3 IP65</t>
  </si>
  <si>
    <t>30 Вт</t>
  </si>
  <si>
    <t>LP50C3 IP65</t>
  </si>
  <si>
    <t>50 Вт</t>
  </si>
  <si>
    <t>Gobo-Projector:</t>
  </si>
  <si>
    <t>GP360 IP65</t>
  </si>
  <si>
    <t>14-45°</t>
  </si>
  <si>
    <t>10 цв., 6 гобо, 3-гр. призма, RDM</t>
  </si>
  <si>
    <t>GP400 IP65</t>
  </si>
  <si>
    <t>30°/45°</t>
  </si>
  <si>
    <t>7 цв., 8 гобо, 4-гр. призма, RDM</t>
  </si>
  <si>
    <t>Fog Machine:</t>
  </si>
  <si>
    <t>V бака</t>
  </si>
  <si>
    <t>V выхода</t>
  </si>
  <si>
    <t>FM850</t>
  </si>
  <si>
    <t>1 л.</t>
  </si>
  <si>
    <t>225 м3</t>
  </si>
  <si>
    <t>Струя дыма - 3 м.</t>
  </si>
  <si>
    <t>FM1600</t>
  </si>
  <si>
    <t>6 л.</t>
  </si>
  <si>
    <t>575 м3</t>
  </si>
  <si>
    <t>Струя дыма - 8 м.</t>
  </si>
  <si>
    <t>FM1800</t>
  </si>
  <si>
    <t>10 л.</t>
  </si>
  <si>
    <t>1 135 м3</t>
  </si>
  <si>
    <t>FM1700 Pro</t>
  </si>
  <si>
    <t>3 л.</t>
  </si>
  <si>
    <t>Струя дыма - 5 м., низкий расход жидк.</t>
  </si>
  <si>
    <t>FM3200 Pro</t>
  </si>
  <si>
    <t>1 160 м3</t>
  </si>
  <si>
    <t>Струя дыма - 10 м.</t>
  </si>
  <si>
    <t>LowFog Machine:</t>
  </si>
  <si>
    <t>S покрытия</t>
  </si>
  <si>
    <t>WLFM1600</t>
  </si>
  <si>
    <t>0,8л. / 5,5л.</t>
  </si>
  <si>
    <t>180 м2</t>
  </si>
  <si>
    <t>Водный</t>
  </si>
  <si>
    <t>WLFM2700</t>
  </si>
  <si>
    <t>1,5л. / 18л.</t>
  </si>
  <si>
    <t>300 м2</t>
  </si>
  <si>
    <t>WLFM2900 Pro</t>
  </si>
  <si>
    <t>2л. / 35л.</t>
  </si>
  <si>
    <t>400 м2</t>
  </si>
  <si>
    <t>Haze Machine:</t>
  </si>
  <si>
    <r>
      <rPr>
        <sz val="11"/>
        <color theme="1"/>
        <rFont val="Arial"/>
      </rPr>
      <t>WHM550</t>
    </r>
    <r>
      <rPr>
        <sz val="11"/>
        <color indexed="2"/>
        <rFont val="Arial"/>
      </rPr>
      <t xml:space="preserve"> (Новинка!!!)</t>
    </r>
  </si>
  <si>
    <t>0,8 л.</t>
  </si>
  <si>
    <t>170 м3/мин.</t>
  </si>
  <si>
    <t>Водный, экономичный расход</t>
  </si>
  <si>
    <t>WHM700</t>
  </si>
  <si>
    <t>2,5 л.</t>
  </si>
  <si>
    <t>110 м3/мин.</t>
  </si>
  <si>
    <t>OHM600v1</t>
  </si>
  <si>
    <t>3,2 л.</t>
  </si>
  <si>
    <t>100 м3/мин.</t>
  </si>
  <si>
    <t>Масляный</t>
  </si>
  <si>
    <r>
      <rPr>
        <sz val="11"/>
        <color theme="1"/>
        <rFont val="Arial"/>
      </rPr>
      <t>WHM2000 Pro</t>
    </r>
    <r>
      <rPr>
        <sz val="11"/>
        <color indexed="2"/>
        <rFont val="Arial"/>
      </rPr>
      <t xml:space="preserve"> (Новинка!)</t>
    </r>
  </si>
  <si>
    <t>450  м3/мин.</t>
  </si>
  <si>
    <t>CO2-WOHZ1700 Pro</t>
  </si>
  <si>
    <t>680 м3/мин.</t>
  </si>
  <si>
    <t>Универсальный Вода/масло + CO2</t>
  </si>
  <si>
    <t>Sparklar Machine:</t>
  </si>
  <si>
    <t>Высота искр</t>
  </si>
  <si>
    <t>SpkM1300S</t>
  </si>
  <si>
    <t>5 метров</t>
  </si>
  <si>
    <t>1 300 Вт.</t>
  </si>
  <si>
    <t>Вращение, 2 фонтана</t>
  </si>
  <si>
    <t>SpkM750XY</t>
  </si>
  <si>
    <t>750 Вт.</t>
  </si>
  <si>
    <t>PAN+TILT</t>
  </si>
  <si>
    <t>Fan:</t>
  </si>
  <si>
    <t>Регулировка</t>
  </si>
  <si>
    <t>FAN150</t>
  </si>
  <si>
    <t>10 скоростей</t>
  </si>
  <si>
    <t>150 Вт.</t>
  </si>
  <si>
    <t>Вентилятор, д/у в комплекте</t>
  </si>
  <si>
    <t>SNAIL700</t>
  </si>
  <si>
    <t>700 Вт.</t>
  </si>
  <si>
    <t>Турбо-улитка, д/у в комплекте</t>
  </si>
  <si>
    <t>КОНСОЛИ</t>
  </si>
  <si>
    <t>Параметры</t>
  </si>
  <si>
    <t>Фейдеры</t>
  </si>
  <si>
    <t>Quartz Mobile</t>
  </si>
  <si>
    <t>100% реплика Avolites, проц. 1,5 ГГц, SSD 120 Гб</t>
  </si>
  <si>
    <t>Mini Command Wing</t>
  </si>
  <si>
    <t>100% совместимость с MA2</t>
  </si>
  <si>
    <t>Mobile Command</t>
  </si>
  <si>
    <t>100% совместимость с MA2, Win10</t>
  </si>
  <si>
    <t>Fader Wing</t>
  </si>
  <si>
    <t>Command Wing</t>
  </si>
  <si>
    <t>MA Note</t>
  </si>
  <si>
    <t>i5 + 8 Gb + 120 SSD, Win7; MA2</t>
  </si>
  <si>
    <r>
      <rPr>
        <sz val="11"/>
        <color theme="1"/>
        <rFont val="Arial"/>
      </rPr>
      <t xml:space="preserve">Commander </t>
    </r>
    <r>
      <rPr>
        <sz val="11"/>
        <color indexed="2"/>
        <rFont val="Arial"/>
      </rPr>
      <t>(Новинка!!!)</t>
    </r>
  </si>
  <si>
    <t>i5/i7 + 8 Gb + 128 SSD, Win10; MA2</t>
  </si>
  <si>
    <t>Ultra-Lite Mini Console</t>
  </si>
  <si>
    <t>100% совместимость с MA2, Win7</t>
  </si>
  <si>
    <t>Ultra-Lite Console</t>
  </si>
  <si>
    <t>Lite Console</t>
  </si>
  <si>
    <t>15 motorized</t>
  </si>
  <si>
    <t>100% совместимость с MA2, Linux</t>
  </si>
  <si>
    <t>Full Console Premium</t>
  </si>
  <si>
    <t>30 motorized</t>
  </si>
  <si>
    <t>NPU</t>
  </si>
  <si>
    <t>USB2.0: 4 шт.; DMX выходы: 8 шт.</t>
  </si>
  <si>
    <t>DMX-controller Mark I</t>
  </si>
  <si>
    <t>192 канала, USB+MIDI</t>
  </si>
  <si>
    <t>DMX-controller Mark II</t>
  </si>
  <si>
    <t>192 канала, USB+MIDI+2.4G WIFI DMX</t>
  </si>
  <si>
    <t>DMX-controller Mark III</t>
  </si>
  <si>
    <t>192 канала, USB+MIDI+WIFI+Battery</t>
  </si>
  <si>
    <t>КОММУТАЦИЯ</t>
  </si>
  <si>
    <t>Splitter:</t>
  </si>
  <si>
    <t>Портов DMX</t>
  </si>
  <si>
    <t>SPL4 MINI</t>
  </si>
  <si>
    <t>нет</t>
  </si>
  <si>
    <t>SPL1X6 RDM</t>
  </si>
  <si>
    <t>есть</t>
  </si>
  <si>
    <t>монтаж на трубу</t>
  </si>
  <si>
    <t>SPL8</t>
  </si>
  <si>
    <t>монтаж в рэковую стойку</t>
  </si>
  <si>
    <t>SPL2X8 RDM</t>
  </si>
  <si>
    <t>SPL8 RDM ArtNet</t>
  </si>
  <si>
    <t>ArtNet, монтаж в рэковую стойку</t>
  </si>
  <si>
    <t>ArtNet:</t>
  </si>
  <si>
    <t>AN4</t>
  </si>
  <si>
    <t>4 порта</t>
  </si>
  <si>
    <t>Cable:</t>
  </si>
  <si>
    <t xml:space="preserve"> Ø сечения</t>
  </si>
  <si>
    <t>Кол-во жил</t>
  </si>
  <si>
    <t>CDMX2X034</t>
  </si>
  <si>
    <t>DMX-кабель</t>
  </si>
  <si>
    <t>CDMX2X025</t>
  </si>
  <si>
    <t>CMPh2x03</t>
  </si>
  <si>
    <t>Микрофонный кабель</t>
  </si>
  <si>
    <t>Connector:</t>
  </si>
  <si>
    <t>3-pin мама</t>
  </si>
  <si>
    <t>Стальной корпус, IP20</t>
  </si>
  <si>
    <t>3-pin папа</t>
  </si>
  <si>
    <t>5-pin мама</t>
  </si>
  <si>
    <t>5-pin папа</t>
  </si>
  <si>
    <t>КРЕПЁЖ</t>
  </si>
  <si>
    <t>Clamps:</t>
  </si>
  <si>
    <t>Диаметр Ø</t>
  </si>
  <si>
    <t>Нагрузка</t>
  </si>
  <si>
    <t>Model JCB-1/JCS-1</t>
  </si>
  <si>
    <t>38-60 мм.</t>
  </si>
  <si>
    <t>80 кг.</t>
  </si>
  <si>
    <t>Ширина 25 мм, чёрный/серебро (опция)</t>
  </si>
  <si>
    <t>Model JCB-2/JCS-2</t>
  </si>
  <si>
    <t>42-60 мм.</t>
  </si>
  <si>
    <t>100 кг.</t>
  </si>
  <si>
    <t>Model JCB-3/JCS-3</t>
  </si>
  <si>
    <t>48-54 мм.</t>
  </si>
  <si>
    <t>Ширина 30 мм, чёрный/серебро (опция)</t>
  </si>
  <si>
    <t>Model JCB-4/JCS-4</t>
  </si>
  <si>
    <t>28-58 мм.</t>
  </si>
  <si>
    <t>50 кг.</t>
  </si>
  <si>
    <t>Model JCB-5/JCS-5</t>
  </si>
  <si>
    <t>20-60 мм.</t>
  </si>
  <si>
    <t>150 кг.</t>
  </si>
  <si>
    <t>Model JCB-6/JCS-6</t>
  </si>
  <si>
    <t>30-60 мм.</t>
  </si>
  <si>
    <t>30 кг.</t>
  </si>
  <si>
    <t>Model JCB-7/JCS-7</t>
  </si>
  <si>
    <t>45-60 мм.</t>
  </si>
  <si>
    <t>250 кг.</t>
  </si>
  <si>
    <t>Model JCB-8/JCS-8</t>
  </si>
  <si>
    <t>25-40 мм.</t>
  </si>
  <si>
    <t>Model JCB-9/JCS-9</t>
  </si>
  <si>
    <t>Model JCB-10/JCS-10</t>
  </si>
  <si>
    <t>48-51 мм.</t>
  </si>
  <si>
    <t>Model JCB-11/JCS-11</t>
  </si>
  <si>
    <t>48-58 мм.</t>
  </si>
  <si>
    <t>Ширина 50 мм, чёрный/серебро (опция)</t>
  </si>
  <si>
    <t>ParLight HOOK</t>
  </si>
  <si>
    <t>35-60 мм.</t>
  </si>
  <si>
    <t>серебристый</t>
  </si>
  <si>
    <t>BeamLight HOOK</t>
  </si>
  <si>
    <t>Safety Rope:</t>
  </si>
  <si>
    <t>Длинна</t>
  </si>
  <si>
    <t>SR-4x850</t>
  </si>
  <si>
    <t>4 мм.</t>
  </si>
  <si>
    <t>850 мм.</t>
  </si>
  <si>
    <t>С карабином</t>
  </si>
  <si>
    <t>SR-2x1000</t>
  </si>
  <si>
    <t>2 мм.</t>
  </si>
  <si>
    <t>1 000 мм.</t>
  </si>
  <si>
    <t>Актуальные цены в выставляемых счетах будут незначительно отличаться от прайса, т.к. округляются для удобства расчётов.</t>
  </si>
  <si>
    <t>Большинство указанных в прайсе приборов может поставляться в кейсах. Стоимость кейсов не входит в стомость приборов (кроме некоторых позиций серии PRO).</t>
  </si>
  <si>
    <t>Сроки производства и поставки приборов необходимо актуализировать перед оплатой счетов!!!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</si>
</sst>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_-* #,##0_-;\-* #,##0_-;_-* &quot;-&quot;??_-;_-@_-"/>
  </numFmts>
  <fonts count="16">
    <font>
      <sz val="11"/>
      <color theme="1"/>
      <name val="Calibri"/>
      <scheme val="minor"/>
    </font>
    <font>
      <sz val="11"/>
      <color theme="1"/>
      <name val="Arial"/>
    </font>
    <font>
      <sz val="11"/>
      <name val="Arial"/>
    </font>
    <font>
      <sz val="12"/>
      <color theme="1"/>
      <name val="Calibri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12"/>
      <color rgb="FFBDD7EE"/>
      <name val="Arial"/>
    </font>
    <font>
      <sz val="12"/>
      <color theme="4" tint="0.59999389629810485"/>
      <name val="Arial"/>
    </font>
    <font>
      <b/>
      <sz val="11"/>
      <color theme="1"/>
      <name val="Arial"/>
    </font>
    <font>
      <sz val="11"/>
      <name val="Calibri"/>
    </font>
    <font>
      <sz val="11.5"/>
      <name val="Arial"/>
    </font>
    <font>
      <sz val="11.5"/>
      <name val="Liberation Sans"/>
    </font>
    <font>
      <sz val="11"/>
      <color theme="1"/>
      <name val="Calibri"/>
      <scheme val="minor"/>
    </font>
    <font>
      <sz val="11"/>
      <color indexed="2"/>
      <name val="Arial"/>
    </font>
    <font>
      <b/>
      <sz val="9"/>
      <name val="Tahoma"/>
    </font>
    <font>
      <sz val="9"/>
      <name val="Tahoma"/>
    </font>
  </fonts>
  <fills count="19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8497B0"/>
        <bgColor rgb="FF8497B0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BDD7EE"/>
        <bgColor rgb="FFBDD7EE"/>
      </patternFill>
    </fill>
    <fill>
      <patternFill patternType="solid">
        <fgColor rgb="FFF2DBDB"/>
        <bgColor rgb="FFF2DBDB"/>
      </patternFill>
    </fill>
    <fill>
      <patternFill patternType="solid">
        <fgColor rgb="FFD6DCE4"/>
        <bgColor rgb="FFD6DCE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/>
        <bgColor theme="0"/>
      </patternFill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4" tint="0.59999389629810485"/>
        <bgColor rgb="FFF4CCCC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auto="1"/>
      </bottom>
      <diagonal/>
    </border>
    <border>
      <left/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</borders>
  <cellStyleXfs count="3">
    <xf numFmtId="0" fontId="0" fillId="0" borderId="0"/>
    <xf numFmtId="0" fontId="12" fillId="0" borderId="0"/>
    <xf numFmtId="9" fontId="12" fillId="0" borderId="0" applyFont="0" applyFill="0" applyBorder="0" applyProtection="0"/>
  </cellStyleXfs>
  <cellXfs count="140">
    <xf numFmtId="0" fontId="0" fillId="0" borderId="0" xfId="0"/>
    <xf numFmtId="0" fontId="12" fillId="0" borderId="0" xfId="1"/>
    <xf numFmtId="3" fontId="12" fillId="0" borderId="0" xfId="1" applyNumberFormat="1"/>
    <xf numFmtId="0" fontId="12" fillId="0" borderId="0" xfId="1" applyAlignment="1">
      <alignment horizontal="center"/>
    </xf>
    <xf numFmtId="0" fontId="1" fillId="2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3" fontId="1" fillId="4" borderId="1" xfId="1" applyNumberFormat="1" applyFont="1" applyFill="1" applyBorder="1" applyAlignment="1">
      <alignment horizontal="center" vertical="center" wrapText="1"/>
    </xf>
    <xf numFmtId="49" fontId="1" fillId="4" borderId="1" xfId="1" applyNumberFormat="1" applyFont="1" applyFill="1" applyBorder="1" applyAlignment="1">
      <alignment horizontal="center" vertical="center" wrapText="1"/>
    </xf>
    <xf numFmtId="3" fontId="1" fillId="5" borderId="1" xfId="1" applyNumberFormat="1" applyFont="1" applyFill="1" applyBorder="1" applyAlignment="1">
      <alignment horizontal="center" vertical="center" wrapText="1"/>
    </xf>
    <xf numFmtId="49" fontId="1" fillId="5" borderId="1" xfId="1" applyNumberFormat="1" applyFont="1" applyFill="1" applyBorder="1" applyAlignment="1">
      <alignment horizontal="center" vertical="center" wrapText="1"/>
    </xf>
    <xf numFmtId="3" fontId="1" fillId="5" borderId="3" xfId="1" applyNumberFormat="1" applyFont="1" applyFill="1" applyBorder="1" applyAlignment="1">
      <alignment vertical="top" wrapText="1"/>
    </xf>
    <xf numFmtId="3" fontId="1" fillId="6" borderId="3" xfId="1" applyNumberFormat="1" applyFont="1" applyFill="1" applyBorder="1" applyAlignment="1">
      <alignment vertical="top" wrapText="1"/>
    </xf>
    <xf numFmtId="0" fontId="3" fillId="0" borderId="0" xfId="1" applyFont="1"/>
    <xf numFmtId="0" fontId="5" fillId="8" borderId="0" xfId="1" applyFont="1" applyFill="1" applyAlignment="1">
      <alignment vertical="center" wrapText="1"/>
    </xf>
    <xf numFmtId="3" fontId="5" fillId="8" borderId="0" xfId="1" applyNumberFormat="1" applyFont="1" applyFill="1" applyAlignment="1">
      <alignment vertical="center" wrapText="1"/>
    </xf>
    <xf numFmtId="3" fontId="7" fillId="8" borderId="0" xfId="1" applyNumberFormat="1" applyFont="1" applyFill="1" applyAlignment="1">
      <alignment vertical="center" wrapText="1"/>
    </xf>
    <xf numFmtId="0" fontId="8" fillId="10" borderId="0" xfId="1" applyFont="1" applyFill="1" applyAlignment="1">
      <alignment vertical="center" wrapText="1"/>
    </xf>
    <xf numFmtId="0" fontId="1" fillId="2" borderId="0" xfId="1" applyFont="1" applyFill="1" applyAlignment="1">
      <alignment vertical="center" wrapText="1"/>
    </xf>
    <xf numFmtId="0" fontId="2" fillId="2" borderId="0" xfId="1" applyFont="1" applyFill="1" applyAlignment="1">
      <alignment horizontal="left" vertical="center" wrapText="1"/>
    </xf>
    <xf numFmtId="3" fontId="1" fillId="2" borderId="0" xfId="1" applyNumberFormat="1" applyFont="1" applyFill="1" applyAlignment="1">
      <alignment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vertical="center" wrapText="1"/>
    </xf>
    <xf numFmtId="0" fontId="2" fillId="0" borderId="1" xfId="1" applyFont="1" applyBorder="1" applyAlignment="1">
      <alignment vertical="top" wrapText="1"/>
    </xf>
    <xf numFmtId="0" fontId="1" fillId="0" borderId="1" xfId="1" applyFont="1" applyBorder="1" applyAlignment="1">
      <alignment vertical="center" wrapText="1"/>
    </xf>
    <xf numFmtId="3" fontId="2" fillId="11" borderId="1" xfId="1" applyNumberFormat="1" applyFont="1" applyFill="1" applyBorder="1" applyAlignment="1">
      <alignment horizontal="right" vertical="center" wrapText="1"/>
    </xf>
    <xf numFmtId="3" fontId="2" fillId="11" borderId="2" xfId="1" applyNumberFormat="1" applyFont="1" applyFill="1" applyBorder="1" applyAlignment="1">
      <alignment horizontal="right" vertical="center" wrapText="1"/>
    </xf>
    <xf numFmtId="3" fontId="1" fillId="12" borderId="1" xfId="1" applyNumberFormat="1" applyFont="1" applyFill="1" applyBorder="1" applyAlignment="1">
      <alignment vertical="center" wrapText="1"/>
    </xf>
    <xf numFmtId="3" fontId="1" fillId="13" borderId="1" xfId="1" applyNumberFormat="1" applyFont="1" applyFill="1" applyBorder="1" applyAlignment="1">
      <alignment vertical="center" wrapText="1"/>
    </xf>
    <xf numFmtId="164" fontId="0" fillId="0" borderId="0" xfId="2" applyNumberFormat="1" applyFont="1"/>
    <xf numFmtId="0" fontId="1" fillId="2" borderId="1" xfId="1" applyFont="1" applyFill="1" applyBorder="1" applyAlignment="1">
      <alignment vertical="top" wrapText="1"/>
    </xf>
    <xf numFmtId="0" fontId="1" fillId="0" borderId="1" xfId="1" applyFont="1" applyBorder="1" applyAlignment="1">
      <alignment vertical="top" wrapText="1"/>
    </xf>
    <xf numFmtId="0" fontId="1" fillId="0" borderId="4" xfId="1" applyFont="1" applyBorder="1" applyAlignment="1">
      <alignment vertical="center" wrapText="1"/>
    </xf>
    <xf numFmtId="3" fontId="2" fillId="11" borderId="4" xfId="1" applyNumberFormat="1" applyFont="1" applyFill="1" applyBorder="1" applyAlignment="1">
      <alignment horizontal="right" vertical="center" wrapText="1"/>
    </xf>
    <xf numFmtId="3" fontId="1" fillId="12" borderId="5" xfId="1" applyNumberFormat="1" applyFont="1" applyFill="1" applyBorder="1" applyAlignment="1">
      <alignment vertical="center" wrapText="1"/>
    </xf>
    <xf numFmtId="3" fontId="1" fillId="12" borderId="2" xfId="1" applyNumberFormat="1" applyFont="1" applyFill="1" applyBorder="1" applyAlignment="1">
      <alignment vertical="center" wrapText="1"/>
    </xf>
    <xf numFmtId="3" fontId="1" fillId="12" borderId="6" xfId="1" applyNumberFormat="1" applyFont="1" applyFill="1" applyBorder="1" applyAlignment="1">
      <alignment vertical="center" wrapText="1"/>
    </xf>
    <xf numFmtId="17" fontId="1" fillId="2" borderId="1" xfId="1" applyNumberFormat="1" applyFont="1" applyFill="1" applyBorder="1" applyAlignment="1">
      <alignment vertical="center" wrapText="1"/>
    </xf>
    <xf numFmtId="0" fontId="2" fillId="2" borderId="1" xfId="1" applyFont="1" applyFill="1" applyBorder="1" applyAlignment="1">
      <alignment vertical="top" wrapText="1"/>
    </xf>
    <xf numFmtId="3" fontId="1" fillId="13" borderId="4" xfId="1" applyNumberFormat="1" applyFont="1" applyFill="1" applyBorder="1" applyAlignment="1">
      <alignment vertical="center" wrapText="1"/>
    </xf>
    <xf numFmtId="0" fontId="1" fillId="14" borderId="1" xfId="1" applyFont="1" applyFill="1" applyBorder="1" applyAlignment="1">
      <alignment vertical="center" wrapText="1"/>
    </xf>
    <xf numFmtId="3" fontId="1" fillId="12" borderId="7" xfId="1" applyNumberFormat="1" applyFont="1" applyFill="1" applyBorder="1" applyAlignment="1">
      <alignment vertical="center" wrapText="1"/>
    </xf>
    <xf numFmtId="0" fontId="1" fillId="15" borderId="1" xfId="1" applyFont="1" applyFill="1" applyBorder="1" applyAlignment="1">
      <alignment vertical="center" wrapText="1"/>
    </xf>
    <xf numFmtId="0" fontId="1" fillId="14" borderId="1" xfId="1" applyFont="1" applyFill="1" applyBorder="1" applyAlignment="1">
      <alignment vertical="top" wrapText="1"/>
    </xf>
    <xf numFmtId="0" fontId="12" fillId="15" borderId="0" xfId="1" applyFill="1"/>
    <xf numFmtId="0" fontId="2" fillId="0" borderId="1" xfId="1" applyFont="1" applyBorder="1" applyAlignment="1">
      <alignment vertical="center" wrapText="1"/>
    </xf>
    <xf numFmtId="0" fontId="1" fillId="0" borderId="1" xfId="1" applyFont="1" applyBorder="1" applyAlignment="1">
      <alignment wrapText="1"/>
    </xf>
    <xf numFmtId="0" fontId="1" fillId="0" borderId="1" xfId="1" applyFont="1" applyBorder="1"/>
    <xf numFmtId="0" fontId="1" fillId="16" borderId="1" xfId="1" applyFont="1" applyFill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1" fillId="14" borderId="1" xfId="1" applyFont="1" applyFill="1" applyBorder="1"/>
    <xf numFmtId="3" fontId="1" fillId="12" borderId="8" xfId="1" applyNumberFormat="1" applyFont="1" applyFill="1" applyBorder="1" applyAlignment="1">
      <alignment vertical="center" wrapText="1"/>
    </xf>
    <xf numFmtId="0" fontId="1" fillId="8" borderId="0" xfId="1" applyFont="1" applyFill="1" applyAlignment="1">
      <alignment vertical="center" wrapText="1"/>
    </xf>
    <xf numFmtId="3" fontId="1" fillId="7" borderId="0" xfId="1" applyNumberFormat="1" applyFont="1" applyFill="1" applyAlignment="1">
      <alignment vertical="center" wrapText="1"/>
    </xf>
    <xf numFmtId="3" fontId="1" fillId="8" borderId="0" xfId="1" applyNumberFormat="1" applyFont="1" applyFill="1" applyAlignment="1">
      <alignment vertical="center" wrapText="1"/>
    </xf>
    <xf numFmtId="3" fontId="1" fillId="13" borderId="3" xfId="1" applyNumberFormat="1" applyFont="1" applyFill="1" applyBorder="1" applyAlignment="1">
      <alignment vertical="center" wrapText="1"/>
    </xf>
    <xf numFmtId="0" fontId="9" fillId="0" borderId="9" xfId="1" applyFont="1" applyBorder="1" applyAlignment="1">
      <alignment horizontal="left" wrapText="1"/>
    </xf>
    <xf numFmtId="3" fontId="1" fillId="13" borderId="10" xfId="1" applyNumberFormat="1" applyFont="1" applyFill="1" applyBorder="1" applyAlignment="1">
      <alignment vertical="center" wrapText="1"/>
    </xf>
    <xf numFmtId="0" fontId="1" fillId="14" borderId="4" xfId="1" applyFont="1" applyFill="1" applyBorder="1" applyAlignment="1">
      <alignment vertical="center" wrapText="1"/>
    </xf>
    <xf numFmtId="0" fontId="1" fillId="17" borderId="1" xfId="1" applyFont="1" applyFill="1" applyBorder="1" applyAlignment="1">
      <alignment vertical="center" wrapText="1"/>
    </xf>
    <xf numFmtId="0" fontId="1" fillId="17" borderId="1" xfId="1" applyFont="1" applyFill="1" applyBorder="1" applyAlignment="1">
      <alignment vertical="top" wrapText="1"/>
    </xf>
    <xf numFmtId="0" fontId="1" fillId="2" borderId="4" xfId="1" applyFont="1" applyFill="1" applyBorder="1" applyAlignment="1">
      <alignment vertical="center" wrapText="1"/>
    </xf>
    <xf numFmtId="0" fontId="1" fillId="2" borderId="0" xfId="1" applyFont="1" applyFill="1" applyAlignment="1">
      <alignment vertical="top" wrapText="1"/>
    </xf>
    <xf numFmtId="0" fontId="1" fillId="2" borderId="3" xfId="1" applyFont="1" applyFill="1" applyBorder="1" applyAlignment="1">
      <alignment vertical="center" wrapText="1"/>
    </xf>
    <xf numFmtId="0" fontId="1" fillId="2" borderId="11" xfId="1" applyFont="1" applyFill="1" applyBorder="1" applyAlignment="1">
      <alignment vertical="center" wrapText="1"/>
    </xf>
    <xf numFmtId="0" fontId="1" fillId="0" borderId="12" xfId="1" applyFont="1" applyBorder="1" applyAlignment="1">
      <alignment vertical="center" wrapText="1"/>
    </xf>
    <xf numFmtId="0" fontId="1" fillId="0" borderId="13" xfId="1" applyFont="1" applyBorder="1" applyAlignment="1">
      <alignment vertical="top" wrapText="1"/>
    </xf>
    <xf numFmtId="3" fontId="1" fillId="12" borderId="3" xfId="1" applyNumberFormat="1" applyFont="1" applyFill="1" applyBorder="1" applyAlignment="1">
      <alignment vertical="center" wrapText="1"/>
    </xf>
    <xf numFmtId="3" fontId="1" fillId="13" borderId="13" xfId="1" applyNumberFormat="1" applyFont="1" applyFill="1" applyBorder="1" applyAlignment="1">
      <alignment vertical="center" wrapText="1"/>
    </xf>
    <xf numFmtId="0" fontId="1" fillId="0" borderId="14" xfId="1" applyFont="1" applyBorder="1" applyAlignment="1">
      <alignment vertical="center" wrapText="1"/>
    </xf>
    <xf numFmtId="0" fontId="2" fillId="0" borderId="1" xfId="1" applyFont="1" applyBorder="1" applyAlignment="1">
      <alignment horizontal="left" vertical="center" wrapText="1"/>
    </xf>
    <xf numFmtId="0" fontId="1" fillId="2" borderId="14" xfId="1" applyFont="1" applyFill="1" applyBorder="1" applyAlignment="1">
      <alignment vertical="center" wrapText="1"/>
    </xf>
    <xf numFmtId="0" fontId="1" fillId="2" borderId="14" xfId="1" applyFont="1" applyFill="1" applyBorder="1" applyAlignment="1">
      <alignment vertical="top" wrapText="1"/>
    </xf>
    <xf numFmtId="0" fontId="1" fillId="2" borderId="15" xfId="1" applyFont="1" applyFill="1" applyBorder="1" applyAlignment="1">
      <alignment vertical="center" wrapText="1"/>
    </xf>
    <xf numFmtId="3" fontId="1" fillId="12" borderId="16" xfId="1" applyNumberFormat="1" applyFont="1" applyFill="1" applyBorder="1" applyAlignment="1">
      <alignment vertical="center" wrapText="1"/>
    </xf>
    <xf numFmtId="3" fontId="1" fillId="13" borderId="15" xfId="1" applyNumberFormat="1" applyFont="1" applyFill="1" applyBorder="1" applyAlignment="1">
      <alignment vertical="center" wrapText="1"/>
    </xf>
    <xf numFmtId="0" fontId="1" fillId="2" borderId="3" xfId="1" applyFont="1" applyFill="1" applyBorder="1" applyAlignment="1">
      <alignment vertical="top" wrapText="1"/>
    </xf>
    <xf numFmtId="0" fontId="8" fillId="10" borderId="14" xfId="1" applyFont="1" applyFill="1" applyBorder="1" applyAlignment="1">
      <alignment vertical="center" wrapText="1"/>
    </xf>
    <xf numFmtId="0" fontId="8" fillId="10" borderId="1" xfId="1" applyFont="1" applyFill="1" applyBorder="1" applyAlignment="1">
      <alignment vertical="center" wrapText="1"/>
    </xf>
    <xf numFmtId="0" fontId="10" fillId="0" borderId="1" xfId="1" applyFont="1" applyBorder="1" applyAlignment="1">
      <alignment horizontal="left" vertical="center" wrapText="1"/>
    </xf>
    <xf numFmtId="0" fontId="1" fillId="10" borderId="17" xfId="1" applyFont="1" applyFill="1" applyBorder="1" applyAlignment="1">
      <alignment horizontal="center" vertical="center" wrapText="1"/>
    </xf>
    <xf numFmtId="0" fontId="1" fillId="2" borderId="17" xfId="1" applyFont="1" applyFill="1" applyBorder="1" applyAlignment="1">
      <alignment vertical="center" wrapText="1"/>
    </xf>
    <xf numFmtId="3" fontId="1" fillId="2" borderId="17" xfId="1" applyNumberFormat="1" applyFont="1" applyFill="1" applyBorder="1" applyAlignment="1">
      <alignment vertical="center" wrapText="1"/>
    </xf>
    <xf numFmtId="3" fontId="1" fillId="2" borderId="18" xfId="1" applyNumberFormat="1" applyFont="1" applyFill="1" applyBorder="1" applyAlignment="1">
      <alignment vertical="center" wrapText="1"/>
    </xf>
    <xf numFmtId="0" fontId="1" fillId="2" borderId="2" xfId="1" applyFont="1" applyFill="1" applyBorder="1" applyAlignment="1">
      <alignment vertical="center" wrapText="1"/>
    </xf>
    <xf numFmtId="165" fontId="1" fillId="0" borderId="4" xfId="1" applyNumberFormat="1" applyFont="1" applyBorder="1" applyAlignment="1">
      <alignment vertical="center" wrapText="1"/>
    </xf>
    <xf numFmtId="3" fontId="1" fillId="12" borderId="19" xfId="1" applyNumberFormat="1" applyFont="1" applyFill="1" applyBorder="1" applyAlignment="1">
      <alignment vertical="center" wrapText="1"/>
    </xf>
    <xf numFmtId="3" fontId="1" fillId="13" borderId="5" xfId="1" applyNumberFormat="1" applyFont="1" applyFill="1" applyBorder="1" applyAlignment="1">
      <alignment vertical="center" wrapText="1"/>
    </xf>
    <xf numFmtId="3" fontId="1" fillId="13" borderId="6" xfId="1" applyNumberFormat="1" applyFont="1" applyFill="1" applyBorder="1" applyAlignment="1">
      <alignment vertical="center" wrapText="1"/>
    </xf>
    <xf numFmtId="3" fontId="1" fillId="13" borderId="7" xfId="1" applyNumberFormat="1" applyFont="1" applyFill="1" applyBorder="1" applyAlignment="1">
      <alignment vertical="center" wrapText="1"/>
    </xf>
    <xf numFmtId="165" fontId="1" fillId="0" borderId="1" xfId="1" applyNumberFormat="1" applyFont="1" applyBorder="1" applyAlignment="1">
      <alignment vertical="center" wrapText="1"/>
    </xf>
    <xf numFmtId="165" fontId="1" fillId="0" borderId="20" xfId="1" applyNumberFormat="1" applyFont="1" applyBorder="1" applyAlignment="1">
      <alignment vertical="center" wrapText="1"/>
    </xf>
    <xf numFmtId="3" fontId="1" fillId="12" borderId="20" xfId="1" applyNumberFormat="1" applyFont="1" applyFill="1" applyBorder="1" applyAlignment="1">
      <alignment vertical="center" wrapText="1"/>
    </xf>
    <xf numFmtId="3" fontId="1" fillId="13" borderId="20" xfId="1" applyNumberFormat="1" applyFont="1" applyFill="1" applyBorder="1" applyAlignment="1">
      <alignment vertical="center" wrapText="1"/>
    </xf>
    <xf numFmtId="0" fontId="12" fillId="0" borderId="1" xfId="1" applyBorder="1" applyAlignment="1">
      <alignment vertical="top"/>
    </xf>
    <xf numFmtId="0" fontId="1" fillId="0" borderId="2" xfId="1" applyFont="1" applyBorder="1" applyAlignment="1">
      <alignment vertical="center" wrapText="1"/>
    </xf>
    <xf numFmtId="166" fontId="12" fillId="0" borderId="0" xfId="1" applyNumberFormat="1"/>
    <xf numFmtId="0" fontId="2" fillId="0" borderId="11" xfId="1" applyFont="1" applyBorder="1" applyAlignment="1">
      <alignment horizontal="left" wrapText="1"/>
    </xf>
    <xf numFmtId="0" fontId="1" fillId="0" borderId="3" xfId="1" applyFont="1" applyBorder="1" applyAlignment="1">
      <alignment vertical="center" wrapText="1"/>
    </xf>
    <xf numFmtId="0" fontId="2" fillId="0" borderId="3" xfId="1" applyFont="1" applyBorder="1" applyAlignment="1">
      <alignment horizontal="left" wrapText="1"/>
    </xf>
    <xf numFmtId="3" fontId="1" fillId="13" borderId="21" xfId="1" applyNumberFormat="1" applyFont="1" applyFill="1" applyBorder="1" applyAlignment="1">
      <alignment vertical="center" wrapText="1"/>
    </xf>
    <xf numFmtId="0" fontId="2" fillId="2" borderId="11" xfId="1" applyFont="1" applyFill="1" applyBorder="1" applyAlignment="1">
      <alignment horizontal="left" wrapText="1"/>
    </xf>
    <xf numFmtId="0" fontId="8" fillId="10" borderId="17" xfId="1" applyFont="1" applyFill="1" applyBorder="1" applyAlignment="1">
      <alignment vertical="center" wrapText="1"/>
    </xf>
    <xf numFmtId="0" fontId="1" fillId="10" borderId="0" xfId="1" applyFont="1" applyFill="1" applyAlignment="1">
      <alignment horizontal="center" vertical="center" wrapText="1"/>
    </xf>
    <xf numFmtId="0" fontId="1" fillId="2" borderId="20" xfId="1" applyFont="1" applyFill="1" applyBorder="1" applyAlignment="1">
      <alignment vertical="center" wrapText="1"/>
    </xf>
    <xf numFmtId="0" fontId="8" fillId="18" borderId="0" xfId="1" applyFont="1" applyFill="1" applyAlignment="1">
      <alignment vertical="center" wrapText="1"/>
    </xf>
    <xf numFmtId="0" fontId="1" fillId="18" borderId="0" xfId="1" applyFont="1" applyFill="1" applyAlignment="1">
      <alignment vertical="center" wrapText="1"/>
    </xf>
    <xf numFmtId="0" fontId="1" fillId="18" borderId="0" xfId="1" applyFont="1" applyFill="1" applyAlignment="1">
      <alignment horizontal="center" vertical="center" wrapText="1"/>
    </xf>
    <xf numFmtId="3" fontId="1" fillId="14" borderId="1" xfId="1" applyNumberFormat="1" applyFont="1" applyFill="1" applyBorder="1" applyAlignment="1">
      <alignment vertical="center" wrapText="1"/>
    </xf>
    <xf numFmtId="3" fontId="1" fillId="0" borderId="1" xfId="1" applyNumberFormat="1" applyFont="1" applyBorder="1" applyAlignment="1">
      <alignment horizontal="center" vertical="center" wrapText="1"/>
    </xf>
    <xf numFmtId="3" fontId="1" fillId="0" borderId="1" xfId="1" applyNumberFormat="1" applyFont="1" applyBorder="1" applyAlignment="1">
      <alignment vertical="center" wrapText="1"/>
    </xf>
    <xf numFmtId="0" fontId="11" fillId="2" borderId="1" xfId="1" applyFont="1" applyFill="1" applyBorder="1" applyAlignment="1">
      <alignment horizontal="left" vertical="center" wrapText="1"/>
    </xf>
    <xf numFmtId="0" fontId="1" fillId="16" borderId="4" xfId="1" applyFont="1" applyFill="1" applyBorder="1" applyAlignment="1">
      <alignment vertical="center" wrapText="1"/>
    </xf>
    <xf numFmtId="0" fontId="11" fillId="0" borderId="0" xfId="1" applyFont="1" applyAlignment="1">
      <alignment horizontal="left"/>
    </xf>
    <xf numFmtId="2" fontId="1" fillId="2" borderId="1" xfId="1" applyNumberFormat="1" applyFont="1" applyFill="1" applyBorder="1" applyAlignment="1">
      <alignment horizontal="center" vertical="center" wrapText="1"/>
    </xf>
    <xf numFmtId="0" fontId="1" fillId="2" borderId="22" xfId="1" applyFont="1" applyFill="1" applyBorder="1" applyAlignment="1">
      <alignment vertical="top" wrapText="1"/>
    </xf>
    <xf numFmtId="0" fontId="1" fillId="2" borderId="23" xfId="1" applyFont="1" applyFill="1" applyBorder="1" applyAlignment="1">
      <alignment vertical="center" wrapText="1"/>
    </xf>
    <xf numFmtId="0" fontId="1" fillId="2" borderId="24" xfId="1" applyFont="1" applyFill="1" applyBorder="1" applyAlignment="1">
      <alignment vertical="center" wrapText="1"/>
    </xf>
    <xf numFmtId="3" fontId="1" fillId="12" borderId="25" xfId="1" applyNumberFormat="1" applyFont="1" applyFill="1" applyBorder="1" applyAlignment="1">
      <alignment vertical="center" wrapText="1"/>
    </xf>
    <xf numFmtId="3" fontId="1" fillId="13" borderId="26" xfId="1" applyNumberFormat="1" applyFont="1" applyFill="1" applyBorder="1" applyAlignment="1">
      <alignment vertical="center" wrapText="1"/>
    </xf>
    <xf numFmtId="0" fontId="1" fillId="2" borderId="27" xfId="1" applyFont="1" applyFill="1" applyBorder="1" applyAlignment="1">
      <alignment vertical="top" wrapText="1"/>
    </xf>
    <xf numFmtId="0" fontId="1" fillId="2" borderId="27" xfId="1" applyFont="1" applyFill="1" applyBorder="1" applyAlignment="1">
      <alignment vertical="center" wrapText="1"/>
    </xf>
    <xf numFmtId="0" fontId="1" fillId="2" borderId="28" xfId="1" applyFont="1" applyFill="1" applyBorder="1" applyAlignment="1">
      <alignment vertical="center" wrapText="1"/>
    </xf>
    <xf numFmtId="3" fontId="1" fillId="12" borderId="29" xfId="1" applyNumberFormat="1" applyFont="1" applyFill="1" applyBorder="1" applyAlignment="1">
      <alignment vertical="center" wrapText="1"/>
    </xf>
    <xf numFmtId="3" fontId="1" fillId="12" borderId="30" xfId="1" applyNumberFormat="1" applyFont="1" applyFill="1" applyBorder="1" applyAlignment="1">
      <alignment vertical="center" wrapText="1"/>
    </xf>
    <xf numFmtId="3" fontId="1" fillId="13" borderId="28" xfId="1" applyNumberFormat="1" applyFont="1" applyFill="1" applyBorder="1" applyAlignment="1">
      <alignment vertical="center" wrapText="1"/>
    </xf>
    <xf numFmtId="0" fontId="1" fillId="2" borderId="31" xfId="1" applyFont="1" applyFill="1" applyBorder="1" applyAlignment="1">
      <alignment vertical="top" wrapText="1"/>
    </xf>
    <xf numFmtId="0" fontId="1" fillId="2" borderId="31" xfId="1" applyFont="1" applyFill="1" applyBorder="1" applyAlignment="1">
      <alignment vertical="center" wrapText="1"/>
    </xf>
    <xf numFmtId="0" fontId="1" fillId="2" borderId="32" xfId="1" applyFont="1" applyFill="1" applyBorder="1" applyAlignment="1">
      <alignment vertical="center" wrapText="1"/>
    </xf>
    <xf numFmtId="3" fontId="1" fillId="12" borderId="33" xfId="1" applyNumberFormat="1" applyFont="1" applyFill="1" applyBorder="1" applyAlignment="1">
      <alignment vertical="center" wrapText="1"/>
    </xf>
    <xf numFmtId="3" fontId="1" fillId="13" borderId="34" xfId="1" applyNumberFormat="1" applyFont="1" applyFill="1" applyBorder="1" applyAlignment="1">
      <alignment vertical="center" wrapText="1"/>
    </xf>
    <xf numFmtId="0" fontId="1" fillId="2" borderId="12" xfId="1" applyFont="1" applyFill="1" applyBorder="1" applyAlignment="1">
      <alignment vertical="top" wrapText="1"/>
    </xf>
    <xf numFmtId="0" fontId="1" fillId="2" borderId="12" xfId="1" applyFont="1" applyFill="1" applyBorder="1" applyAlignment="1">
      <alignment vertical="center" wrapText="1"/>
    </xf>
    <xf numFmtId="0" fontId="1" fillId="2" borderId="35" xfId="1" applyFont="1" applyFill="1" applyBorder="1" applyAlignment="1">
      <alignment vertical="center" wrapText="1"/>
    </xf>
    <xf numFmtId="3" fontId="1" fillId="12" borderId="36" xfId="1" applyNumberFormat="1" applyFont="1" applyFill="1" applyBorder="1" applyAlignment="1">
      <alignment vertical="center" wrapText="1"/>
    </xf>
    <xf numFmtId="3" fontId="1" fillId="13" borderId="37" xfId="1" applyNumberFormat="1" applyFont="1" applyFill="1" applyBorder="1" applyAlignment="1">
      <alignment vertical="center" wrapText="1"/>
    </xf>
    <xf numFmtId="0" fontId="8" fillId="18" borderId="0" xfId="1" applyFont="1" applyFill="1" applyAlignment="1">
      <alignment horizontal="left" vertical="center" wrapText="1"/>
    </xf>
    <xf numFmtId="0" fontId="4" fillId="7" borderId="0" xfId="1" applyFont="1" applyFill="1" applyAlignment="1">
      <alignment horizontal="left" vertical="center" wrapText="1"/>
    </xf>
    <xf numFmtId="0" fontId="6" fillId="9" borderId="0" xfId="1" applyFont="1" applyFill="1" applyAlignment="1">
      <alignment horizontal="left" vertical="center" wrapText="1"/>
    </xf>
  </cellXfs>
  <cellStyles count="3">
    <cellStyle name="Обычный" xfId="0" builtinId="0"/>
    <cellStyle name="Обычный 2" xfId="1" xr:uid="{00000000-0005-0000-0000-000001000000}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Олейников" id="{738F3357-414C-17BC-1F7D-E39582140F81}" userId="1130000063684423" providerId="Teamlab"/>
  <person displayName="Ilya Oleynikoff" id="{9975E98C-D772-F982-C9DE-B2B88E1A07E7}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2" dT="2024-11-22T07:24:39.54Z" personId="{738F3357-414C-17BC-1F7D-E39582140F81}" id="{BE7D5545-A03E-435B-7F64-7EA11BBC5DCF}" done="0">
    <text xml:space="preserve">121° для RGB диодов и 89° для белых диодов
</text>
  </threadedComment>
  <threadedComment ref="A19" dT="2024-10-25T08:16:54.86Z" personId="{738F3357-414C-17BC-1F7D-E39582140F81}" id="{B64071E5-7AF8-D841-F05C-3E7C9E3D4809}" done="0">
    <text xml:space="preserve">Кейс в комплекте поставки
</text>
  </threadedComment>
  <threadedComment ref="A20" dT="2024-10-25T08:17:03.87Z" personId="{738F3357-414C-17BC-1F7D-E39582140F81}" id="{72486BAC-544D-C631-80A5-B106B594A61A}" done="0">
    <text xml:space="preserve">Кейс в комплекте поставки
</text>
  </threadedComment>
  <threadedComment ref="A21" dT="2024-10-25T08:17:15.77Z" personId="{738F3357-414C-17BC-1F7D-E39582140F81}" id="{5F054BE8-323F-7D30-FA4D-711822474A9B}" done="0">
    <text xml:space="preserve">Кейс в комплекте поставки
</text>
  </threadedComment>
  <threadedComment ref="A31" dT="2024-10-25T08:15:18.55Z" personId="{738F3357-414C-17BC-1F7D-E39582140F81}" id="{FA93C81A-5A4E-50CB-B45C-AF1AF48D2D29}" done="0">
    <text xml:space="preserve">Кейс в комплекте поставки
</text>
  </threadedComment>
  <threadedComment ref="A32" dT="2024-10-25T08:16:03.85Z" personId="{738F3357-414C-17BC-1F7D-E39582140F81}" id="{3906CC23-985C-CBEB-726B-33802E7BE961}" done="0">
    <text xml:space="preserve">Кейс в комплекте поставки
</text>
  </threadedComment>
  <threadedComment ref="A33" dT="2024-10-25T08:16:08.19Z" personId="{738F3357-414C-17BC-1F7D-E39582140F81}" id="{CCB00036-E26C-3F41-09BC-8C2B82E0BDD5}" done="0">
    <text xml:space="preserve">Кейс в комплекте поставки
</text>
  </threadedComment>
  <threadedComment ref="A41" dT="2024-10-25T08:16:40.25Z" personId="{738F3357-414C-17BC-1F7D-E39582140F81}" id="{2045A120-10E5-6282-3185-B42E07914C9C}" done="0">
    <text xml:space="preserve">Кейс в комплекте поставки
</text>
  </threadedComment>
  <threadedComment ref="A42" personId="{9975E98C-D772-F982-C9DE-B2B88E1A07E7}" id="{005C00BD-0011-4755-8DD8-0084006A0027}" done="0">
    <text xml:space="preserve">Кейс на 2 прибора - в комплекте поставки!
</text>
  </threadedComment>
  <threadedComment ref="A58" dT="2024-10-25T08:16:54.86Z" personId="{738F3357-414C-17BC-1F7D-E39582140F81}" id="{C41475F9-AE7C-762B-CA34-39D38259E2F3}" done="0">
    <text xml:space="preserve">Кейс в комплекте поставки
</text>
  </threadedComment>
  <threadedComment ref="A7" dT="2024-10-25T08:17:28.57Z" personId="{738F3357-414C-17BC-1F7D-E39582140F81}" id="{57CDF9BE-E62D-4819-7140-67D2F5CD2D64}" done="0">
    <text xml:space="preserve">Кейс в комплекте поставки
</text>
  </threadedComment>
  <threadedComment ref="A62" dT="2024-10-25T10:17:39.66Z" personId="{738F3357-414C-17BC-1F7D-E39582140F81}" id="{80AA9A28-AA93-CB3A-20A6-027DBA8CC84A}" done="0">
    <text xml:space="preserve">Кейс в комплекте поставки
</text>
  </threadedComment>
  <threadedComment ref="A63" dT="2024-10-25T10:17:43.76Z" personId="{738F3357-414C-17BC-1F7D-E39582140F81}" id="{9F3B20A8-FD82-0E7F-9CF3-DCCAD2BD7A25}" done="0">
    <text xml:space="preserve">Кейс в комплекте поставки
</text>
  </threadedComment>
  <threadedComment ref="A64" dT="2024-10-25T10:17:48.99Z" personId="{738F3357-414C-17BC-1F7D-E39582140F81}" id="{EBB95560-A12D-BF35-E3AD-E221B1474B8A}" done="0">
    <text xml:space="preserve">Кейс в комплекте поставки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171"/>
  <sheetViews>
    <sheetView tabSelected="1" workbookViewId="0">
      <pane ySplit="1" topLeftCell="A162" activePane="bottomLeft" state="frozen"/>
      <selection activeCell="A166" sqref="A166:XFD167"/>
      <selection pane="bottomLeft" activeCell="H186" sqref="H186"/>
    </sheetView>
  </sheetViews>
  <sheetFormatPr defaultColWidth="14.44140625" defaultRowHeight="15" customHeight="1"/>
  <cols>
    <col min="1" max="1" width="26" style="1" customWidth="1"/>
    <col min="2" max="2" width="13.5546875" style="1" customWidth="1"/>
    <col min="3" max="3" width="12.6640625" style="1" customWidth="1"/>
    <col min="4" max="4" width="39.109375" style="1" customWidth="1"/>
    <col min="5" max="5" width="7.88671875" style="1" customWidth="1"/>
    <col min="6" max="7" width="10.6640625" style="1" hidden="1" customWidth="1"/>
    <col min="8" max="11" width="10.6640625" style="2" customWidth="1"/>
    <col min="12" max="12" width="9.33203125" style="1" bestFit="1" customWidth="1"/>
    <col min="13" max="13" width="15.6640625" style="1" customWidth="1"/>
    <col min="14" max="16384" width="14.44140625" style="1"/>
  </cols>
  <sheetData>
    <row r="1" spans="1:13" s="3" customFormat="1" ht="14.25" customHeight="1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8</v>
      </c>
      <c r="L1" s="12" t="s">
        <v>10</v>
      </c>
      <c r="M1" s="13" t="s">
        <v>11</v>
      </c>
    </row>
    <row r="2" spans="1:13" s="14" customFormat="1" ht="14.25" customHeight="1">
      <c r="A2" s="138" t="s">
        <v>12</v>
      </c>
      <c r="B2" s="138"/>
      <c r="C2" s="138"/>
      <c r="D2" s="138"/>
      <c r="E2" s="15"/>
      <c r="F2" s="139">
        <v>11.28</v>
      </c>
      <c r="G2" s="139"/>
      <c r="H2" s="16"/>
      <c r="I2" s="17">
        <v>12.231</v>
      </c>
      <c r="J2" s="16"/>
      <c r="K2" s="17">
        <f>I2</f>
        <v>12.231</v>
      </c>
      <c r="L2" s="17">
        <f>J2</f>
        <v>0</v>
      </c>
      <c r="M2" s="17">
        <f>K2</f>
        <v>12.231</v>
      </c>
    </row>
    <row r="3" spans="1:13" ht="14.25" customHeight="1">
      <c r="A3" s="18" t="s">
        <v>13</v>
      </c>
      <c r="B3" s="19"/>
      <c r="C3" s="19"/>
      <c r="D3" s="19"/>
      <c r="E3" s="19"/>
      <c r="F3" s="20" t="s">
        <v>14</v>
      </c>
      <c r="G3" s="20" t="s">
        <v>14</v>
      </c>
      <c r="H3" s="21"/>
      <c r="I3" s="21"/>
      <c r="J3" s="21"/>
      <c r="K3" s="21"/>
    </row>
    <row r="4" spans="1:13" ht="14.25" customHeight="1">
      <c r="A4" s="22" t="s">
        <v>15</v>
      </c>
      <c r="B4" s="23" t="s">
        <v>16</v>
      </c>
      <c r="C4" s="23" t="s">
        <v>17</v>
      </c>
      <c r="D4" s="24" t="s">
        <v>18</v>
      </c>
      <c r="E4" s="25">
        <v>13</v>
      </c>
      <c r="F4" s="26">
        <f t="shared" ref="F4:F9" si="0">H4/$F$2</f>
        <v>14796.099290780143</v>
      </c>
      <c r="G4" s="27">
        <f t="shared" ref="G4:G9" si="1">F4*1.2</f>
        <v>17755.319148936171</v>
      </c>
      <c r="H4" s="28">
        <v>166900</v>
      </c>
      <c r="I4" s="28">
        <f t="shared" ref="I4:I9" si="2">H4*1.2</f>
        <v>200280</v>
      </c>
      <c r="J4" s="29">
        <v>256900</v>
      </c>
      <c r="K4" s="29">
        <f t="shared" ref="K4:K9" si="3">J4*1.2</f>
        <v>308280</v>
      </c>
      <c r="L4" s="30">
        <f t="shared" ref="L4:L9" si="4">(J4-H4)/J4</f>
        <v>0.35033086804203972</v>
      </c>
      <c r="M4" s="1" t="s">
        <v>19</v>
      </c>
    </row>
    <row r="5" spans="1:13" ht="14.25" customHeight="1">
      <c r="A5" s="22" t="s">
        <v>20</v>
      </c>
      <c r="B5" s="23" t="s">
        <v>16</v>
      </c>
      <c r="C5" s="23" t="s">
        <v>17</v>
      </c>
      <c r="D5" s="24" t="s">
        <v>21</v>
      </c>
      <c r="E5" s="25">
        <v>13</v>
      </c>
      <c r="F5" s="26">
        <f t="shared" si="0"/>
        <v>18608.156028368794</v>
      </c>
      <c r="G5" s="27">
        <f t="shared" si="1"/>
        <v>22329.787234042553</v>
      </c>
      <c r="H5" s="28">
        <v>209900</v>
      </c>
      <c r="I5" s="28">
        <f t="shared" si="2"/>
        <v>251880</v>
      </c>
      <c r="J5" s="29">
        <v>322900</v>
      </c>
      <c r="K5" s="29">
        <f t="shared" si="3"/>
        <v>387480</v>
      </c>
      <c r="L5" s="30">
        <f t="shared" si="4"/>
        <v>0.34995354598947043</v>
      </c>
      <c r="M5" s="1" t="s">
        <v>19</v>
      </c>
    </row>
    <row r="6" spans="1:13" ht="14.25" customHeight="1">
      <c r="A6" s="22" t="s">
        <v>22</v>
      </c>
      <c r="B6" s="23" t="s">
        <v>23</v>
      </c>
      <c r="C6" s="23" t="s">
        <v>24</v>
      </c>
      <c r="D6" s="23" t="s">
        <v>25</v>
      </c>
      <c r="E6" s="25">
        <v>14</v>
      </c>
      <c r="F6" s="26">
        <f t="shared" si="0"/>
        <v>6906.0283687943265</v>
      </c>
      <c r="G6" s="27">
        <f t="shared" si="1"/>
        <v>8287.2340425531911</v>
      </c>
      <c r="H6" s="28">
        <v>77900</v>
      </c>
      <c r="I6" s="28">
        <f t="shared" si="2"/>
        <v>93480</v>
      </c>
      <c r="J6" s="29">
        <v>119900</v>
      </c>
      <c r="K6" s="29">
        <f t="shared" si="3"/>
        <v>143880</v>
      </c>
      <c r="L6" s="30">
        <f t="shared" si="4"/>
        <v>0.35029190992493747</v>
      </c>
    </row>
    <row r="7" spans="1:13" ht="14.25" customHeight="1">
      <c r="A7" s="23" t="s">
        <v>26</v>
      </c>
      <c r="B7" s="23" t="s">
        <v>23</v>
      </c>
      <c r="C7" s="23" t="s">
        <v>27</v>
      </c>
      <c r="D7" s="31" t="s">
        <v>28</v>
      </c>
      <c r="E7" s="25">
        <v>15.5</v>
      </c>
      <c r="F7" s="26">
        <f t="shared" si="0"/>
        <v>11072.695035460994</v>
      </c>
      <c r="G7" s="27">
        <f t="shared" si="1"/>
        <v>13287.234042553193</v>
      </c>
      <c r="H7" s="28">
        <v>124900</v>
      </c>
      <c r="I7" s="28">
        <f t="shared" si="2"/>
        <v>149880</v>
      </c>
      <c r="J7" s="29">
        <v>192900</v>
      </c>
      <c r="K7" s="29">
        <f t="shared" si="3"/>
        <v>231480</v>
      </c>
      <c r="L7" s="30">
        <f t="shared" si="4"/>
        <v>0.35251425609123899</v>
      </c>
    </row>
    <row r="8" spans="1:13" ht="14.25" customHeight="1">
      <c r="A8" s="25" t="s">
        <v>29</v>
      </c>
      <c r="B8" s="23" t="s">
        <v>16</v>
      </c>
      <c r="C8" s="25" t="s">
        <v>30</v>
      </c>
      <c r="D8" s="32" t="s">
        <v>31</v>
      </c>
      <c r="E8" s="25">
        <v>28</v>
      </c>
      <c r="F8" s="26">
        <f t="shared" si="0"/>
        <v>32792.553191489365</v>
      </c>
      <c r="G8" s="27">
        <f t="shared" si="1"/>
        <v>39351.063829787236</v>
      </c>
      <c r="H8" s="28">
        <v>369900</v>
      </c>
      <c r="I8" s="28">
        <f t="shared" si="2"/>
        <v>443880</v>
      </c>
      <c r="J8" s="29">
        <v>569900</v>
      </c>
      <c r="K8" s="29">
        <f t="shared" si="3"/>
        <v>683880</v>
      </c>
      <c r="L8" s="30">
        <f t="shared" si="4"/>
        <v>0.35093876118617301</v>
      </c>
    </row>
    <row r="9" spans="1:13" ht="14.25" customHeight="1">
      <c r="A9" s="25" t="s">
        <v>32</v>
      </c>
      <c r="B9" s="23" t="s">
        <v>16</v>
      </c>
      <c r="C9" s="25" t="s">
        <v>30</v>
      </c>
      <c r="D9" s="32" t="s">
        <v>33</v>
      </c>
      <c r="E9" s="25">
        <v>28</v>
      </c>
      <c r="F9" s="26">
        <f t="shared" si="0"/>
        <v>34565.602836879436</v>
      </c>
      <c r="G9" s="27">
        <f t="shared" si="1"/>
        <v>41478.723404255325</v>
      </c>
      <c r="H9" s="28">
        <v>389900</v>
      </c>
      <c r="I9" s="28">
        <f t="shared" si="2"/>
        <v>467880</v>
      </c>
      <c r="J9" s="29">
        <v>599900</v>
      </c>
      <c r="K9" s="29">
        <f t="shared" si="3"/>
        <v>719880</v>
      </c>
      <c r="L9" s="30">
        <f t="shared" si="4"/>
        <v>0.3500583430571762</v>
      </c>
    </row>
    <row r="10" spans="1:13" ht="14.25" customHeight="1">
      <c r="A10" s="23" t="s">
        <v>34</v>
      </c>
      <c r="B10" s="25" t="s">
        <v>35</v>
      </c>
      <c r="C10" s="23" t="s">
        <v>30</v>
      </c>
      <c r="D10" s="23" t="s">
        <v>36</v>
      </c>
      <c r="E10" s="25">
        <v>28.5</v>
      </c>
      <c r="F10" s="26">
        <f t="shared" ref="F10:F71" si="5">H10/$F$2</f>
        <v>105487.58865248227</v>
      </c>
      <c r="G10" s="27">
        <f t="shared" ref="G10:G71" si="6">F10*1.2</f>
        <v>126585.10638297872</v>
      </c>
      <c r="H10" s="28">
        <v>1189900</v>
      </c>
      <c r="I10" s="28">
        <f t="shared" ref="I10:I71" si="7">H10*1.2</f>
        <v>1427880</v>
      </c>
      <c r="J10" s="29">
        <v>1829900</v>
      </c>
      <c r="K10" s="29">
        <f t="shared" ref="K10:K71" si="8">J10*1.2</f>
        <v>2195880</v>
      </c>
      <c r="L10" s="30">
        <f t="shared" ref="L10:L71" si="9">(J10-H10)/J10</f>
        <v>0.34974588775342913</v>
      </c>
    </row>
    <row r="11" spans="1:13" ht="14.25" customHeight="1">
      <c r="A11" s="25" t="s">
        <v>37</v>
      </c>
      <c r="B11" s="23" t="s">
        <v>23</v>
      </c>
      <c r="C11" s="23" t="s">
        <v>38</v>
      </c>
      <c r="D11" s="32" t="s">
        <v>39</v>
      </c>
      <c r="E11" s="25">
        <v>28</v>
      </c>
      <c r="F11" s="26">
        <f t="shared" si="5"/>
        <v>13466.31205673759</v>
      </c>
      <c r="G11" s="27">
        <f t="shared" si="6"/>
        <v>16159.574468085108</v>
      </c>
      <c r="H11" s="28">
        <v>151900</v>
      </c>
      <c r="I11" s="28">
        <f t="shared" si="7"/>
        <v>182280</v>
      </c>
      <c r="J11" s="29">
        <v>234900</v>
      </c>
      <c r="K11" s="29">
        <f t="shared" si="8"/>
        <v>281880</v>
      </c>
      <c r="L11" s="30">
        <f t="shared" si="9"/>
        <v>0.35334184759472115</v>
      </c>
    </row>
    <row r="12" spans="1:13" ht="14.25" customHeight="1">
      <c r="A12" s="25" t="s">
        <v>40</v>
      </c>
      <c r="B12" s="23" t="s">
        <v>23</v>
      </c>
      <c r="C12" s="23" t="s">
        <v>41</v>
      </c>
      <c r="D12" s="23" t="s">
        <v>42</v>
      </c>
      <c r="E12" s="25">
        <v>28.5</v>
      </c>
      <c r="F12" s="26">
        <f t="shared" si="5"/>
        <v>14352.836879432625</v>
      </c>
      <c r="G12" s="27">
        <f t="shared" si="6"/>
        <v>17223.40425531915</v>
      </c>
      <c r="H12" s="28">
        <v>161900</v>
      </c>
      <c r="I12" s="28">
        <f t="shared" si="7"/>
        <v>194280</v>
      </c>
      <c r="J12" s="29">
        <v>249900</v>
      </c>
      <c r="K12" s="29">
        <f t="shared" si="8"/>
        <v>299880</v>
      </c>
      <c r="L12" s="30">
        <f t="shared" si="9"/>
        <v>0.352140856342537</v>
      </c>
    </row>
    <row r="13" spans="1:13" ht="14.25" customHeight="1">
      <c r="A13" s="25" t="s">
        <v>43</v>
      </c>
      <c r="B13" s="23" t="s">
        <v>16</v>
      </c>
      <c r="C13" s="23" t="s">
        <v>30</v>
      </c>
      <c r="D13" s="23" t="s">
        <v>44</v>
      </c>
      <c r="E13" s="25">
        <v>30.5</v>
      </c>
      <c r="F13" s="26">
        <f t="shared" si="5"/>
        <v>55487.588652482271</v>
      </c>
      <c r="G13" s="27">
        <f t="shared" si="6"/>
        <v>66585.106382978716</v>
      </c>
      <c r="H13" s="28">
        <v>625900</v>
      </c>
      <c r="I13" s="28">
        <f t="shared" si="7"/>
        <v>751080</v>
      </c>
      <c r="J13" s="29">
        <v>969900</v>
      </c>
      <c r="K13" s="29">
        <f t="shared" si="8"/>
        <v>1163880</v>
      </c>
      <c r="L13" s="30">
        <f t="shared" si="9"/>
        <v>0.3546757397669863</v>
      </c>
    </row>
    <row r="14" spans="1:13" ht="14.25" customHeight="1" collapsed="1">
      <c r="A14" s="18" t="s">
        <v>45</v>
      </c>
      <c r="B14" s="19"/>
      <c r="C14" s="19"/>
      <c r="D14" s="19"/>
      <c r="E14" s="19"/>
      <c r="F14" s="19"/>
      <c r="G14" s="19"/>
      <c r="H14" s="21"/>
      <c r="I14" s="21"/>
      <c r="J14" s="21"/>
      <c r="K14" s="21"/>
      <c r="L14" s="30"/>
    </row>
    <row r="15" spans="1:13" ht="14.25" customHeight="1">
      <c r="A15" s="23" t="s">
        <v>46</v>
      </c>
      <c r="B15" s="23" t="s">
        <v>23</v>
      </c>
      <c r="C15" s="23" t="s">
        <v>47</v>
      </c>
      <c r="D15" s="31" t="s">
        <v>48</v>
      </c>
      <c r="E15" s="33">
        <v>13.05</v>
      </c>
      <c r="F15" s="26">
        <f t="shared" si="5"/>
        <v>5842.1985815602839</v>
      </c>
      <c r="G15" s="34">
        <f t="shared" si="6"/>
        <v>7010.6382978723404</v>
      </c>
      <c r="H15" s="35">
        <v>65900</v>
      </c>
      <c r="I15" s="36">
        <f t="shared" si="7"/>
        <v>79080</v>
      </c>
      <c r="J15" s="29">
        <v>101900</v>
      </c>
      <c r="K15" s="29">
        <f t="shared" si="8"/>
        <v>122280</v>
      </c>
      <c r="L15" s="30">
        <f t="shared" si="9"/>
        <v>0.35328753680078506</v>
      </c>
    </row>
    <row r="16" spans="1:13" ht="14.25" customHeight="1">
      <c r="A16" s="23" t="s">
        <v>49</v>
      </c>
      <c r="B16" s="23" t="s">
        <v>23</v>
      </c>
      <c r="C16" s="23" t="s">
        <v>50</v>
      </c>
      <c r="D16" s="32" t="s">
        <v>51</v>
      </c>
      <c r="E16" s="25">
        <v>15</v>
      </c>
      <c r="F16" s="26">
        <f t="shared" si="5"/>
        <v>7437.9432624113479</v>
      </c>
      <c r="G16" s="34">
        <f t="shared" si="6"/>
        <v>8925.5319148936178</v>
      </c>
      <c r="H16" s="37">
        <v>83900</v>
      </c>
      <c r="I16" s="36">
        <f t="shared" si="7"/>
        <v>100680</v>
      </c>
      <c r="J16" s="29">
        <v>129900</v>
      </c>
      <c r="K16" s="29">
        <f t="shared" si="8"/>
        <v>155880</v>
      </c>
      <c r="L16" s="30">
        <f t="shared" si="9"/>
        <v>0.35411855273287146</v>
      </c>
    </row>
    <row r="17" spans="1:13" ht="14.25" customHeight="1">
      <c r="A17" s="25" t="s">
        <v>52</v>
      </c>
      <c r="B17" s="25" t="s">
        <v>53</v>
      </c>
      <c r="C17" s="25" t="s">
        <v>54</v>
      </c>
      <c r="D17" s="31" t="s">
        <v>55</v>
      </c>
      <c r="E17" s="25">
        <v>24.3</v>
      </c>
      <c r="F17" s="26">
        <f t="shared" si="5"/>
        <v>15682.624113475178</v>
      </c>
      <c r="G17" s="34">
        <f t="shared" si="6"/>
        <v>18819.148936170212</v>
      </c>
      <c r="H17" s="37">
        <v>176900</v>
      </c>
      <c r="I17" s="36">
        <f t="shared" si="7"/>
        <v>212280</v>
      </c>
      <c r="J17" s="29">
        <v>274900</v>
      </c>
      <c r="K17" s="29">
        <f t="shared" si="8"/>
        <v>329880</v>
      </c>
      <c r="L17" s="30">
        <f t="shared" si="9"/>
        <v>0.35649327028010186</v>
      </c>
    </row>
    <row r="18" spans="1:13" ht="14.25" customHeight="1">
      <c r="A18" s="23" t="s">
        <v>56</v>
      </c>
      <c r="B18" s="23" t="s">
        <v>53</v>
      </c>
      <c r="C18" s="23" t="s">
        <v>57</v>
      </c>
      <c r="D18" s="31" t="s">
        <v>58</v>
      </c>
      <c r="E18" s="25">
        <v>26</v>
      </c>
      <c r="F18" s="26">
        <f t="shared" si="5"/>
        <v>10452.127659574469</v>
      </c>
      <c r="G18" s="34">
        <f t="shared" si="6"/>
        <v>12542.553191489364</v>
      </c>
      <c r="H18" s="37">
        <v>117900</v>
      </c>
      <c r="I18" s="36">
        <f t="shared" si="7"/>
        <v>141480</v>
      </c>
      <c r="J18" s="29">
        <v>182900</v>
      </c>
      <c r="K18" s="29">
        <f t="shared" si="8"/>
        <v>219480</v>
      </c>
      <c r="L18" s="30">
        <f t="shared" si="9"/>
        <v>0.35538545653362491</v>
      </c>
      <c r="M18" s="1" t="s">
        <v>19</v>
      </c>
    </row>
    <row r="19" spans="1:13" ht="14.25" customHeight="1">
      <c r="A19" s="23" t="s">
        <v>59</v>
      </c>
      <c r="B19" s="23" t="s">
        <v>53</v>
      </c>
      <c r="C19" s="38" t="s">
        <v>60</v>
      </c>
      <c r="D19" s="39" t="s">
        <v>61</v>
      </c>
      <c r="E19" s="25">
        <v>34</v>
      </c>
      <c r="F19" s="26">
        <f t="shared" si="5"/>
        <v>34122.340425531918</v>
      </c>
      <c r="G19" s="34">
        <f t="shared" si="6"/>
        <v>40946.808510638301</v>
      </c>
      <c r="H19" s="37">
        <v>384900</v>
      </c>
      <c r="I19" s="36">
        <f t="shared" si="7"/>
        <v>461880</v>
      </c>
      <c r="J19" s="40">
        <v>592900</v>
      </c>
      <c r="K19" s="29">
        <f t="shared" si="8"/>
        <v>711480</v>
      </c>
      <c r="L19" s="30">
        <f t="shared" si="9"/>
        <v>0.35081801315567551</v>
      </c>
      <c r="M19" s="1" t="s">
        <v>19</v>
      </c>
    </row>
    <row r="20" spans="1:13" ht="12.75" customHeight="1">
      <c r="A20" s="23" t="s">
        <v>62</v>
      </c>
      <c r="B20" s="23" t="s">
        <v>53</v>
      </c>
      <c r="C20" s="38" t="s">
        <v>63</v>
      </c>
      <c r="D20" s="39" t="s">
        <v>64</v>
      </c>
      <c r="E20" s="41">
        <v>34.5</v>
      </c>
      <c r="F20" s="26">
        <f t="shared" si="5"/>
        <v>44760.638297872341</v>
      </c>
      <c r="G20" s="34">
        <f t="shared" si="6"/>
        <v>53712.765957446805</v>
      </c>
      <c r="H20" s="37">
        <v>504900</v>
      </c>
      <c r="I20" s="36">
        <f t="shared" si="7"/>
        <v>605880</v>
      </c>
      <c r="J20" s="29">
        <v>779900</v>
      </c>
      <c r="K20" s="29">
        <f t="shared" si="8"/>
        <v>935880</v>
      </c>
      <c r="L20" s="30">
        <f t="shared" si="9"/>
        <v>0.35260930888575459</v>
      </c>
      <c r="M20" s="1" t="s">
        <v>19</v>
      </c>
    </row>
    <row r="21" spans="1:13" ht="12.75" customHeight="1">
      <c r="A21" s="23" t="s">
        <v>65</v>
      </c>
      <c r="B21" s="23" t="s">
        <v>53</v>
      </c>
      <c r="C21" s="38" t="s">
        <v>63</v>
      </c>
      <c r="D21" s="39" t="s">
        <v>64</v>
      </c>
      <c r="E21" s="25">
        <v>35</v>
      </c>
      <c r="F21" s="26">
        <f t="shared" si="5"/>
        <v>48484.042553191495</v>
      </c>
      <c r="G21" s="34">
        <f t="shared" si="6"/>
        <v>58180.851063829796</v>
      </c>
      <c r="H21" s="42">
        <v>546900</v>
      </c>
      <c r="I21" s="36">
        <f t="shared" si="7"/>
        <v>656280</v>
      </c>
      <c r="J21" s="29">
        <v>844900</v>
      </c>
      <c r="K21" s="29">
        <f t="shared" si="8"/>
        <v>1013880</v>
      </c>
      <c r="L21" s="30">
        <f t="shared" si="9"/>
        <v>0.35270446206651673</v>
      </c>
      <c r="M21" s="1" t="s">
        <v>19</v>
      </c>
    </row>
    <row r="22" spans="1:13" ht="14.25" customHeight="1" collapsed="1">
      <c r="A22" s="18" t="s">
        <v>66</v>
      </c>
      <c r="B22" s="19"/>
      <c r="C22" s="19"/>
      <c r="D22" s="19"/>
      <c r="E22" s="19"/>
      <c r="F22" s="19"/>
      <c r="G22" s="19"/>
      <c r="H22" s="21"/>
      <c r="I22" s="21"/>
      <c r="J22" s="21"/>
      <c r="K22" s="21"/>
      <c r="L22" s="30"/>
    </row>
    <row r="23" spans="1:13" ht="14.25" customHeight="1">
      <c r="A23" s="23" t="s">
        <v>67</v>
      </c>
      <c r="B23" s="23" t="s">
        <v>23</v>
      </c>
      <c r="C23" s="23" t="s">
        <v>68</v>
      </c>
      <c r="D23" s="31" t="s">
        <v>69</v>
      </c>
      <c r="E23" s="33">
        <v>5.2</v>
      </c>
      <c r="F23" s="26">
        <f t="shared" si="5"/>
        <v>3448.5815602836883</v>
      </c>
      <c r="G23" s="34">
        <f t="shared" si="6"/>
        <v>4138.2978723404258</v>
      </c>
      <c r="H23" s="35">
        <v>38900</v>
      </c>
      <c r="I23" s="36">
        <f t="shared" si="7"/>
        <v>46680</v>
      </c>
      <c r="J23" s="29">
        <v>59900</v>
      </c>
      <c r="K23" s="29">
        <f t="shared" si="8"/>
        <v>71880</v>
      </c>
      <c r="L23" s="30">
        <f t="shared" si="9"/>
        <v>0.35058430717863104</v>
      </c>
    </row>
    <row r="24" spans="1:13" ht="14.25" customHeight="1">
      <c r="A24" s="23" t="s">
        <v>70</v>
      </c>
      <c r="B24" s="23" t="s">
        <v>23</v>
      </c>
      <c r="C24" s="23" t="s">
        <v>71</v>
      </c>
      <c r="D24" s="31" t="s">
        <v>72</v>
      </c>
      <c r="E24" s="25">
        <v>5.4</v>
      </c>
      <c r="F24" s="26">
        <f t="shared" si="5"/>
        <v>4157.8014184397161</v>
      </c>
      <c r="G24" s="34">
        <f t="shared" si="6"/>
        <v>4989.3617021276596</v>
      </c>
      <c r="H24" s="37">
        <v>46900</v>
      </c>
      <c r="I24" s="36">
        <f t="shared" si="7"/>
        <v>56280</v>
      </c>
      <c r="J24" s="29">
        <v>72900</v>
      </c>
      <c r="K24" s="29">
        <f t="shared" si="8"/>
        <v>87480</v>
      </c>
      <c r="L24" s="30">
        <f t="shared" si="9"/>
        <v>0.35665294924554186</v>
      </c>
    </row>
    <row r="25" spans="1:13" ht="14.25" hidden="1" customHeight="1">
      <c r="A25" s="23" t="s">
        <v>73</v>
      </c>
      <c r="B25" s="23" t="s">
        <v>23</v>
      </c>
      <c r="C25" s="43" t="s">
        <v>74</v>
      </c>
      <c r="D25" s="44" t="s">
        <v>75</v>
      </c>
      <c r="E25" s="41">
        <v>8</v>
      </c>
      <c r="F25" s="26">
        <f t="shared" si="5"/>
        <v>0</v>
      </c>
      <c r="G25" s="34">
        <f t="shared" si="6"/>
        <v>0</v>
      </c>
      <c r="H25" s="37"/>
      <c r="I25" s="36"/>
      <c r="J25" s="29"/>
      <c r="K25" s="29">
        <f t="shared" si="8"/>
        <v>0</v>
      </c>
      <c r="L25" s="30" t="e">
        <f t="shared" si="9"/>
        <v>#DIV/0!</v>
      </c>
      <c r="M25" s="45" t="s">
        <v>19</v>
      </c>
    </row>
    <row r="26" spans="1:13" ht="14.25" customHeight="1">
      <c r="A26" s="23" t="s">
        <v>76</v>
      </c>
      <c r="B26" s="23" t="s">
        <v>23</v>
      </c>
      <c r="C26" s="23" t="s">
        <v>77</v>
      </c>
      <c r="D26" s="31" t="s">
        <v>78</v>
      </c>
      <c r="E26" s="25">
        <v>7.9</v>
      </c>
      <c r="F26" s="26">
        <f t="shared" si="5"/>
        <v>3891.8439716312059</v>
      </c>
      <c r="G26" s="34">
        <f t="shared" si="6"/>
        <v>4670.2127659574471</v>
      </c>
      <c r="H26" s="37">
        <v>43900</v>
      </c>
      <c r="I26" s="36">
        <f t="shared" si="7"/>
        <v>52680</v>
      </c>
      <c r="J26" s="29">
        <v>68900</v>
      </c>
      <c r="K26" s="29">
        <f t="shared" si="8"/>
        <v>82680</v>
      </c>
      <c r="L26" s="30">
        <f t="shared" si="9"/>
        <v>0.36284470246734396</v>
      </c>
    </row>
    <row r="27" spans="1:13" ht="14.25" customHeight="1">
      <c r="A27" s="23" t="s">
        <v>79</v>
      </c>
      <c r="B27" s="23" t="s">
        <v>23</v>
      </c>
      <c r="C27" s="23" t="s">
        <v>80</v>
      </c>
      <c r="D27" s="31" t="s">
        <v>81</v>
      </c>
      <c r="E27" s="25">
        <v>17.2</v>
      </c>
      <c r="F27" s="26">
        <f t="shared" si="5"/>
        <v>11338.652482269505</v>
      </c>
      <c r="G27" s="34">
        <f t="shared" si="6"/>
        <v>13606.382978723404</v>
      </c>
      <c r="H27" s="37">
        <v>127900</v>
      </c>
      <c r="I27" s="36">
        <f t="shared" si="7"/>
        <v>153480</v>
      </c>
      <c r="J27" s="29">
        <v>197900</v>
      </c>
      <c r="K27" s="29">
        <f t="shared" si="8"/>
        <v>237480</v>
      </c>
      <c r="L27" s="30">
        <f t="shared" si="9"/>
        <v>0.35371399696816574</v>
      </c>
      <c r="M27" s="1" t="s">
        <v>19</v>
      </c>
    </row>
    <row r="28" spans="1:13" ht="14.25" customHeight="1">
      <c r="A28" s="46" t="s">
        <v>82</v>
      </c>
      <c r="B28" s="46" t="s">
        <v>23</v>
      </c>
      <c r="C28" s="46" t="s">
        <v>83</v>
      </c>
      <c r="D28" s="24" t="s">
        <v>84</v>
      </c>
      <c r="E28" s="46">
        <v>12</v>
      </c>
      <c r="F28" s="26">
        <f t="shared" si="5"/>
        <v>7969.8581560283692</v>
      </c>
      <c r="G28" s="34">
        <f t="shared" si="6"/>
        <v>9563.8297872340427</v>
      </c>
      <c r="H28" s="37">
        <v>89900</v>
      </c>
      <c r="I28" s="36">
        <f t="shared" si="7"/>
        <v>107880</v>
      </c>
      <c r="J28" s="29">
        <v>138900</v>
      </c>
      <c r="K28" s="29">
        <f t="shared" si="8"/>
        <v>166680</v>
      </c>
      <c r="L28" s="30">
        <f t="shared" si="9"/>
        <v>0.35277177825773937</v>
      </c>
    </row>
    <row r="29" spans="1:13" ht="14.25" customHeight="1">
      <c r="A29" s="23" t="s">
        <v>85</v>
      </c>
      <c r="B29" s="23" t="s">
        <v>23</v>
      </c>
      <c r="C29" s="23" t="s">
        <v>68</v>
      </c>
      <c r="D29" s="31" t="s">
        <v>86</v>
      </c>
      <c r="E29" s="25">
        <v>12.5</v>
      </c>
      <c r="F29" s="26">
        <f t="shared" si="5"/>
        <v>6906.0283687943265</v>
      </c>
      <c r="G29" s="34">
        <f t="shared" si="6"/>
        <v>8287.2340425531911</v>
      </c>
      <c r="H29" s="37">
        <v>77900</v>
      </c>
      <c r="I29" s="36">
        <f t="shared" si="7"/>
        <v>93480</v>
      </c>
      <c r="J29" s="29">
        <v>119900</v>
      </c>
      <c r="K29" s="29">
        <f t="shared" si="8"/>
        <v>143880</v>
      </c>
      <c r="L29" s="30">
        <f t="shared" si="9"/>
        <v>0.35029190992493747</v>
      </c>
    </row>
    <row r="30" spans="1:13" ht="14.25" customHeight="1">
      <c r="A30" s="23" t="s">
        <v>87</v>
      </c>
      <c r="B30" s="23" t="s">
        <v>23</v>
      </c>
      <c r="C30" s="23" t="s">
        <v>88</v>
      </c>
      <c r="D30" s="31" t="s">
        <v>89</v>
      </c>
      <c r="E30" s="25">
        <v>12.5</v>
      </c>
      <c r="F30" s="26">
        <f t="shared" si="5"/>
        <v>8324.468085106384</v>
      </c>
      <c r="G30" s="34">
        <f t="shared" si="6"/>
        <v>9989.3617021276605</v>
      </c>
      <c r="H30" s="37">
        <v>93900</v>
      </c>
      <c r="I30" s="36">
        <f t="shared" si="7"/>
        <v>112680</v>
      </c>
      <c r="J30" s="29">
        <v>144900</v>
      </c>
      <c r="K30" s="29">
        <f t="shared" si="8"/>
        <v>173880</v>
      </c>
      <c r="L30" s="30">
        <f t="shared" si="9"/>
        <v>0.35196687370600416</v>
      </c>
    </row>
    <row r="31" spans="1:13" ht="14.25" customHeight="1">
      <c r="A31" s="25" t="s">
        <v>90</v>
      </c>
      <c r="B31" s="23" t="s">
        <v>23</v>
      </c>
      <c r="C31" s="23" t="s">
        <v>77</v>
      </c>
      <c r="D31" s="32" t="s">
        <v>75</v>
      </c>
      <c r="E31" s="25">
        <v>18.5</v>
      </c>
      <c r="F31" s="26">
        <f t="shared" si="5"/>
        <v>14264.184397163121</v>
      </c>
      <c r="G31" s="34">
        <f t="shared" si="6"/>
        <v>17117.021276595744</v>
      </c>
      <c r="H31" s="37">
        <v>160900</v>
      </c>
      <c r="I31" s="36">
        <f t="shared" si="7"/>
        <v>193080</v>
      </c>
      <c r="J31" s="29">
        <v>248900</v>
      </c>
      <c r="K31" s="29">
        <f t="shared" si="8"/>
        <v>298680</v>
      </c>
      <c r="L31" s="30">
        <f t="shared" si="9"/>
        <v>0.35355564483728402</v>
      </c>
    </row>
    <row r="32" spans="1:13" ht="14.25" customHeight="1">
      <c r="A32" s="25" t="s">
        <v>91</v>
      </c>
      <c r="B32" s="23" t="s">
        <v>23</v>
      </c>
      <c r="C32" s="23" t="s">
        <v>92</v>
      </c>
      <c r="D32" s="32" t="s">
        <v>93</v>
      </c>
      <c r="E32" s="47">
        <v>23.2</v>
      </c>
      <c r="F32" s="26">
        <f t="shared" si="5"/>
        <v>23661.347517730497</v>
      </c>
      <c r="G32" s="34">
        <f t="shared" si="6"/>
        <v>28393.617021276597</v>
      </c>
      <c r="H32" s="37">
        <v>266900</v>
      </c>
      <c r="I32" s="36">
        <f t="shared" si="7"/>
        <v>320280</v>
      </c>
      <c r="J32" s="29">
        <v>414900</v>
      </c>
      <c r="K32" s="29">
        <f t="shared" si="8"/>
        <v>497880</v>
      </c>
      <c r="L32" s="30">
        <f t="shared" si="9"/>
        <v>0.35671246083393587</v>
      </c>
    </row>
    <row r="33" spans="1:13" ht="14.25" customHeight="1">
      <c r="A33" s="25" t="s">
        <v>94</v>
      </c>
      <c r="B33" s="23" t="s">
        <v>95</v>
      </c>
      <c r="C33" s="23" t="s">
        <v>92</v>
      </c>
      <c r="D33" s="31" t="s">
        <v>96</v>
      </c>
      <c r="E33" s="48">
        <v>23.2</v>
      </c>
      <c r="F33" s="26">
        <f t="shared" si="5"/>
        <v>28093.971631205677</v>
      </c>
      <c r="G33" s="34">
        <f t="shared" si="6"/>
        <v>33712.765957446813</v>
      </c>
      <c r="H33" s="37">
        <v>316900</v>
      </c>
      <c r="I33" s="36">
        <f t="shared" si="7"/>
        <v>380280</v>
      </c>
      <c r="J33" s="29">
        <v>489900</v>
      </c>
      <c r="K33" s="29">
        <f t="shared" si="8"/>
        <v>587880</v>
      </c>
      <c r="L33" s="30">
        <f t="shared" si="9"/>
        <v>0.35313329250867526</v>
      </c>
      <c r="M33" s="1" t="s">
        <v>19</v>
      </c>
    </row>
    <row r="34" spans="1:13" ht="14.25" customHeight="1">
      <c r="A34" s="25" t="s">
        <v>97</v>
      </c>
      <c r="B34" s="23" t="s">
        <v>23</v>
      </c>
      <c r="C34" s="23" t="s">
        <v>98</v>
      </c>
      <c r="D34" s="32" t="s">
        <v>99</v>
      </c>
      <c r="E34" s="49">
        <v>8</v>
      </c>
      <c r="F34" s="26">
        <f t="shared" si="5"/>
        <v>2828.0141843971633</v>
      </c>
      <c r="G34" s="34">
        <f t="shared" si="6"/>
        <v>3393.617021276596</v>
      </c>
      <c r="H34" s="37">
        <v>31900</v>
      </c>
      <c r="I34" s="36">
        <f t="shared" si="7"/>
        <v>38280</v>
      </c>
      <c r="J34" s="29">
        <v>49900</v>
      </c>
      <c r="K34" s="29">
        <f t="shared" si="8"/>
        <v>59880</v>
      </c>
      <c r="L34" s="30">
        <f t="shared" si="9"/>
        <v>0.36072144288577157</v>
      </c>
    </row>
    <row r="35" spans="1:13" ht="14.25" customHeight="1">
      <c r="A35" s="25" t="s">
        <v>100</v>
      </c>
      <c r="B35" s="23" t="s">
        <v>23</v>
      </c>
      <c r="C35" s="23" t="s">
        <v>80</v>
      </c>
      <c r="D35" s="31" t="s">
        <v>89</v>
      </c>
      <c r="E35" s="41">
        <v>8.6999999999999993</v>
      </c>
      <c r="F35" s="26">
        <f t="shared" si="5"/>
        <v>4423.7588652482273</v>
      </c>
      <c r="G35" s="34">
        <f t="shared" si="6"/>
        <v>5308.5106382978729</v>
      </c>
      <c r="H35" s="37">
        <v>49900</v>
      </c>
      <c r="I35" s="36">
        <f t="shared" si="7"/>
        <v>59880</v>
      </c>
      <c r="J35" s="29">
        <v>76900</v>
      </c>
      <c r="K35" s="29">
        <f t="shared" si="8"/>
        <v>92280</v>
      </c>
      <c r="L35" s="30">
        <f t="shared" si="9"/>
        <v>0.35110533159947982</v>
      </c>
    </row>
    <row r="36" spans="1:13" ht="14.25" customHeight="1">
      <c r="A36" s="25" t="s">
        <v>101</v>
      </c>
      <c r="B36" s="23" t="s">
        <v>23</v>
      </c>
      <c r="C36" s="23" t="s">
        <v>98</v>
      </c>
      <c r="D36" s="31" t="s">
        <v>102</v>
      </c>
      <c r="E36" s="25">
        <v>11</v>
      </c>
      <c r="F36" s="26">
        <f t="shared" si="5"/>
        <v>4601.0638297872347</v>
      </c>
      <c r="G36" s="34">
        <f t="shared" si="6"/>
        <v>5521.2765957446818</v>
      </c>
      <c r="H36" s="37">
        <v>51900</v>
      </c>
      <c r="I36" s="36">
        <f t="shared" si="7"/>
        <v>62280</v>
      </c>
      <c r="J36" s="29">
        <v>80900</v>
      </c>
      <c r="K36" s="29">
        <f t="shared" si="8"/>
        <v>97080</v>
      </c>
      <c r="L36" s="30">
        <f t="shared" si="9"/>
        <v>0.35846724351050679</v>
      </c>
      <c r="M36" s="1" t="s">
        <v>19</v>
      </c>
    </row>
    <row r="37" spans="1:13" ht="14.25" customHeight="1">
      <c r="A37" s="23" t="s">
        <v>103</v>
      </c>
      <c r="B37" s="23" t="s">
        <v>23</v>
      </c>
      <c r="C37" s="23" t="s">
        <v>68</v>
      </c>
      <c r="D37" s="31" t="s">
        <v>86</v>
      </c>
      <c r="E37" s="25">
        <v>13</v>
      </c>
      <c r="F37" s="26">
        <f t="shared" si="5"/>
        <v>9920.2127659574471</v>
      </c>
      <c r="G37" s="34">
        <f t="shared" si="6"/>
        <v>11904.255319148937</v>
      </c>
      <c r="H37" s="37">
        <v>111900</v>
      </c>
      <c r="I37" s="36">
        <f t="shared" si="7"/>
        <v>134280</v>
      </c>
      <c r="J37" s="29">
        <v>172900</v>
      </c>
      <c r="K37" s="29">
        <f t="shared" si="8"/>
        <v>207480</v>
      </c>
      <c r="L37" s="30">
        <f t="shared" si="9"/>
        <v>0.35280508964719492</v>
      </c>
    </row>
    <row r="38" spans="1:13" ht="14.25" customHeight="1">
      <c r="A38" s="23" t="s">
        <v>104</v>
      </c>
      <c r="B38" s="23" t="s">
        <v>23</v>
      </c>
      <c r="C38" s="23" t="s">
        <v>105</v>
      </c>
      <c r="D38" s="31" t="s">
        <v>89</v>
      </c>
      <c r="E38" s="25">
        <v>13</v>
      </c>
      <c r="F38" s="26">
        <f t="shared" si="5"/>
        <v>11693.262411347518</v>
      </c>
      <c r="G38" s="34">
        <f t="shared" si="6"/>
        <v>14031.91489361702</v>
      </c>
      <c r="H38" s="37">
        <v>131900</v>
      </c>
      <c r="I38" s="36">
        <f t="shared" si="7"/>
        <v>158280</v>
      </c>
      <c r="J38" s="29">
        <v>204900</v>
      </c>
      <c r="K38" s="29">
        <f t="shared" si="8"/>
        <v>245880</v>
      </c>
      <c r="L38" s="30">
        <f t="shared" si="9"/>
        <v>0.35627135187896536</v>
      </c>
    </row>
    <row r="39" spans="1:13" ht="14.25" customHeight="1">
      <c r="A39" s="23" t="s">
        <v>106</v>
      </c>
      <c r="B39" s="23" t="s">
        <v>95</v>
      </c>
      <c r="C39" s="23" t="s">
        <v>83</v>
      </c>
      <c r="D39" s="31" t="s">
        <v>107</v>
      </c>
      <c r="E39" s="25">
        <v>14.2</v>
      </c>
      <c r="F39" s="26">
        <f t="shared" si="5"/>
        <v>14707.44680851064</v>
      </c>
      <c r="G39" s="34">
        <f t="shared" si="6"/>
        <v>17648.936170212768</v>
      </c>
      <c r="H39" s="37">
        <v>165900</v>
      </c>
      <c r="I39" s="36">
        <f t="shared" si="7"/>
        <v>199080</v>
      </c>
      <c r="J39" s="29">
        <v>256900</v>
      </c>
      <c r="K39" s="29">
        <f t="shared" si="8"/>
        <v>308280</v>
      </c>
      <c r="L39" s="30">
        <f t="shared" si="9"/>
        <v>0.35422343324250682</v>
      </c>
      <c r="M39" s="1" t="s">
        <v>19</v>
      </c>
    </row>
    <row r="40" spans="1:13" ht="14.25" customHeight="1">
      <c r="A40" s="23" t="s">
        <v>108</v>
      </c>
      <c r="B40" s="50" t="s">
        <v>23</v>
      </c>
      <c r="C40" s="23" t="s">
        <v>109</v>
      </c>
      <c r="D40" s="31" t="s">
        <v>110</v>
      </c>
      <c r="E40" s="25">
        <v>22</v>
      </c>
      <c r="F40" s="26">
        <f t="shared" si="5"/>
        <v>18076.241134751774</v>
      </c>
      <c r="G40" s="34">
        <f t="shared" si="6"/>
        <v>21691.489361702126</v>
      </c>
      <c r="H40" s="37">
        <v>203900</v>
      </c>
      <c r="I40" s="36">
        <f t="shared" si="7"/>
        <v>244680</v>
      </c>
      <c r="J40" s="29">
        <v>313900</v>
      </c>
      <c r="K40" s="29">
        <f t="shared" si="8"/>
        <v>376680</v>
      </c>
      <c r="L40" s="30">
        <f t="shared" si="9"/>
        <v>0.35043007327174258</v>
      </c>
    </row>
    <row r="41" spans="1:13" ht="14.25" customHeight="1">
      <c r="A41" s="23" t="s">
        <v>111</v>
      </c>
      <c r="B41" s="23" t="s">
        <v>23</v>
      </c>
      <c r="C41" s="23" t="s">
        <v>112</v>
      </c>
      <c r="D41" s="31" t="s">
        <v>113</v>
      </c>
      <c r="E41" s="25">
        <v>21</v>
      </c>
      <c r="F41" s="26">
        <f t="shared" si="5"/>
        <v>20292.553191489362</v>
      </c>
      <c r="G41" s="34">
        <f t="shared" si="6"/>
        <v>24351.063829787232</v>
      </c>
      <c r="H41" s="37">
        <v>228900</v>
      </c>
      <c r="I41" s="36">
        <f t="shared" si="7"/>
        <v>274680</v>
      </c>
      <c r="J41" s="29">
        <v>355900</v>
      </c>
      <c r="K41" s="29">
        <f t="shared" si="8"/>
        <v>427080</v>
      </c>
      <c r="L41" s="30">
        <f t="shared" si="9"/>
        <v>0.35684180949704974</v>
      </c>
    </row>
    <row r="42" spans="1:13" ht="14.25" customHeight="1">
      <c r="A42" s="23" t="s">
        <v>114</v>
      </c>
      <c r="B42" s="23" t="s">
        <v>23</v>
      </c>
      <c r="C42" s="23" t="s">
        <v>112</v>
      </c>
      <c r="D42" s="31" t="s">
        <v>115</v>
      </c>
      <c r="E42" s="25">
        <v>21</v>
      </c>
      <c r="F42" s="26">
        <f t="shared" si="5"/>
        <v>25079.787234042553</v>
      </c>
      <c r="G42" s="34">
        <f t="shared" si="6"/>
        <v>30095.744680851061</v>
      </c>
      <c r="H42" s="37">
        <v>282900</v>
      </c>
      <c r="I42" s="36">
        <f t="shared" si="7"/>
        <v>339480</v>
      </c>
      <c r="J42" s="29">
        <v>439900</v>
      </c>
      <c r="K42" s="29">
        <f t="shared" si="8"/>
        <v>527880</v>
      </c>
      <c r="L42" s="30">
        <f t="shared" si="9"/>
        <v>0.35689929529438508</v>
      </c>
    </row>
    <row r="43" spans="1:13" ht="15" customHeight="1">
      <c r="A43" s="23" t="s">
        <v>116</v>
      </c>
      <c r="B43" s="50" t="s">
        <v>23</v>
      </c>
      <c r="C43" s="23" t="s">
        <v>74</v>
      </c>
      <c r="D43" s="31" t="s">
        <v>117</v>
      </c>
      <c r="E43" s="25">
        <v>18.7</v>
      </c>
      <c r="F43" s="26">
        <f t="shared" si="5"/>
        <v>23572.695035460994</v>
      </c>
      <c r="G43" s="34">
        <f t="shared" si="6"/>
        <v>28287.234042553191</v>
      </c>
      <c r="H43" s="37">
        <v>265900</v>
      </c>
      <c r="I43" s="36">
        <f t="shared" si="7"/>
        <v>319080</v>
      </c>
      <c r="J43" s="29">
        <v>409900</v>
      </c>
      <c r="K43" s="29">
        <f t="shared" si="8"/>
        <v>491880</v>
      </c>
      <c r="L43" s="30">
        <f t="shared" si="9"/>
        <v>0.35130519638936325</v>
      </c>
    </row>
    <row r="44" spans="1:13" ht="14.25" customHeight="1">
      <c r="A44" s="25" t="s">
        <v>118</v>
      </c>
      <c r="B44" s="23" t="s">
        <v>23</v>
      </c>
      <c r="C44" s="23" t="s">
        <v>109</v>
      </c>
      <c r="D44" s="32" t="s">
        <v>110</v>
      </c>
      <c r="E44" s="51">
        <v>27</v>
      </c>
      <c r="F44" s="26">
        <f t="shared" si="5"/>
        <v>23572.695035460994</v>
      </c>
      <c r="G44" s="34">
        <f t="shared" si="6"/>
        <v>28287.234042553191</v>
      </c>
      <c r="H44" s="37">
        <v>265900</v>
      </c>
      <c r="I44" s="36">
        <f t="shared" si="7"/>
        <v>319080</v>
      </c>
      <c r="J44" s="29">
        <v>409900</v>
      </c>
      <c r="K44" s="29">
        <f t="shared" si="8"/>
        <v>491880</v>
      </c>
      <c r="L44" s="30">
        <f t="shared" si="9"/>
        <v>0.35130519638936325</v>
      </c>
    </row>
    <row r="45" spans="1:13" ht="15" customHeight="1">
      <c r="A45" s="23" t="s">
        <v>119</v>
      </c>
      <c r="B45" s="23" t="s">
        <v>120</v>
      </c>
      <c r="C45" s="23" t="s">
        <v>98</v>
      </c>
      <c r="D45" s="32" t="s">
        <v>121</v>
      </c>
      <c r="E45" s="25">
        <v>9.6</v>
      </c>
      <c r="F45" s="26">
        <f t="shared" si="5"/>
        <v>4423.7588652482273</v>
      </c>
      <c r="G45" s="34">
        <f t="shared" si="6"/>
        <v>5308.5106382978729</v>
      </c>
      <c r="H45" s="37">
        <v>49900</v>
      </c>
      <c r="I45" s="36">
        <f t="shared" si="7"/>
        <v>59880</v>
      </c>
      <c r="J45" s="29">
        <v>76900</v>
      </c>
      <c r="K45" s="29">
        <f t="shared" si="8"/>
        <v>92280</v>
      </c>
      <c r="L45" s="30">
        <f t="shared" si="9"/>
        <v>0.35110533159947982</v>
      </c>
      <c r="M45" s="1" t="s">
        <v>19</v>
      </c>
    </row>
    <row r="46" spans="1:13" ht="15" customHeight="1">
      <c r="A46" s="23" t="s">
        <v>122</v>
      </c>
      <c r="B46" s="23" t="s">
        <v>123</v>
      </c>
      <c r="C46" s="23" t="s">
        <v>83</v>
      </c>
      <c r="D46" s="31" t="s">
        <v>124</v>
      </c>
      <c r="E46" s="25">
        <v>16.8</v>
      </c>
      <c r="F46" s="26">
        <f t="shared" si="5"/>
        <v>14707.44680851064</v>
      </c>
      <c r="G46" s="34">
        <f t="shared" si="6"/>
        <v>17648.936170212768</v>
      </c>
      <c r="H46" s="37">
        <v>165900</v>
      </c>
      <c r="I46" s="36">
        <f t="shared" si="7"/>
        <v>199080</v>
      </c>
      <c r="J46" s="29">
        <v>256900</v>
      </c>
      <c r="K46" s="29">
        <f t="shared" si="8"/>
        <v>308280</v>
      </c>
      <c r="L46" s="30">
        <f t="shared" si="9"/>
        <v>0.35422343324250682</v>
      </c>
      <c r="M46" s="1" t="s">
        <v>19</v>
      </c>
    </row>
    <row r="47" spans="1:13" ht="15" customHeight="1">
      <c r="A47" s="23" t="s">
        <v>125</v>
      </c>
      <c r="B47" s="23" t="s">
        <v>23</v>
      </c>
      <c r="C47" s="23" t="s">
        <v>126</v>
      </c>
      <c r="D47" s="31" t="s">
        <v>127</v>
      </c>
      <c r="E47" s="25">
        <v>24.7</v>
      </c>
      <c r="F47" s="26">
        <f t="shared" si="5"/>
        <v>13998.22695035461</v>
      </c>
      <c r="G47" s="34">
        <f t="shared" si="6"/>
        <v>16797.872340425532</v>
      </c>
      <c r="H47" s="37">
        <v>157900</v>
      </c>
      <c r="I47" s="36">
        <f t="shared" si="7"/>
        <v>189480</v>
      </c>
      <c r="J47" s="29">
        <v>245900</v>
      </c>
      <c r="K47" s="29">
        <f t="shared" si="8"/>
        <v>295080</v>
      </c>
      <c r="L47" s="30">
        <f t="shared" si="9"/>
        <v>0.35786905246034972</v>
      </c>
    </row>
    <row r="48" spans="1:13" ht="14.25" customHeight="1">
      <c r="A48" s="23" t="s">
        <v>128</v>
      </c>
      <c r="B48" s="23" t="s">
        <v>23</v>
      </c>
      <c r="C48" s="23" t="s">
        <v>80</v>
      </c>
      <c r="D48" s="31" t="s">
        <v>129</v>
      </c>
      <c r="E48" s="25">
        <v>23.6</v>
      </c>
      <c r="F48" s="26">
        <f t="shared" si="5"/>
        <v>18253.546099290783</v>
      </c>
      <c r="G48" s="34">
        <f t="shared" si="6"/>
        <v>21904.255319148939</v>
      </c>
      <c r="H48" s="42">
        <v>205900</v>
      </c>
      <c r="I48" s="36">
        <f t="shared" si="7"/>
        <v>247080</v>
      </c>
      <c r="J48" s="29">
        <v>317900</v>
      </c>
      <c r="K48" s="29">
        <f t="shared" si="8"/>
        <v>381480</v>
      </c>
      <c r="L48" s="30">
        <f t="shared" si="9"/>
        <v>0.3523120478137779</v>
      </c>
      <c r="M48" s="1" t="s">
        <v>19</v>
      </c>
    </row>
    <row r="49" spans="1:13" ht="14.25" customHeight="1" collapsed="1">
      <c r="A49" s="18" t="s">
        <v>130</v>
      </c>
      <c r="B49" s="19"/>
      <c r="C49" s="19"/>
      <c r="D49" s="19"/>
      <c r="E49" s="19"/>
      <c r="F49" s="19"/>
      <c r="G49" s="19"/>
      <c r="H49" s="21"/>
      <c r="I49" s="21"/>
      <c r="J49" s="21"/>
      <c r="K49" s="21"/>
      <c r="L49" s="30"/>
    </row>
    <row r="50" spans="1:13" ht="14.25" customHeight="1">
      <c r="A50" s="23" t="s">
        <v>131</v>
      </c>
      <c r="B50" s="23" t="s">
        <v>23</v>
      </c>
      <c r="C50" s="25" t="s">
        <v>132</v>
      </c>
      <c r="D50" s="31" t="s">
        <v>133</v>
      </c>
      <c r="E50" s="33">
        <v>13.5</v>
      </c>
      <c r="F50" s="26">
        <f t="shared" si="5"/>
        <v>7083.3333333333339</v>
      </c>
      <c r="G50" s="34">
        <f t="shared" si="6"/>
        <v>8500</v>
      </c>
      <c r="H50" s="35">
        <v>79900</v>
      </c>
      <c r="I50" s="36">
        <f t="shared" si="7"/>
        <v>95880</v>
      </c>
      <c r="J50" s="29">
        <v>122900</v>
      </c>
      <c r="K50" s="29">
        <f t="shared" si="8"/>
        <v>147480</v>
      </c>
      <c r="L50" s="30">
        <f t="shared" si="9"/>
        <v>0.34987794955248169</v>
      </c>
      <c r="M50" s="1" t="s">
        <v>19</v>
      </c>
    </row>
    <row r="51" spans="1:13" ht="14.25" customHeight="1">
      <c r="A51" s="25" t="s">
        <v>134</v>
      </c>
      <c r="B51" s="23" t="s">
        <v>53</v>
      </c>
      <c r="C51" s="25" t="s">
        <v>57</v>
      </c>
      <c r="D51" s="32" t="s">
        <v>135</v>
      </c>
      <c r="E51" s="25">
        <v>27</v>
      </c>
      <c r="F51" s="26">
        <f t="shared" si="5"/>
        <v>13200.354609929078</v>
      </c>
      <c r="G51" s="34">
        <f t="shared" si="6"/>
        <v>15840.425531914892</v>
      </c>
      <c r="H51" s="37">
        <v>148900</v>
      </c>
      <c r="I51" s="36">
        <f t="shared" si="7"/>
        <v>178680</v>
      </c>
      <c r="J51" s="29">
        <v>231900</v>
      </c>
      <c r="K51" s="29">
        <f t="shared" si="8"/>
        <v>278280</v>
      </c>
      <c r="L51" s="30">
        <f t="shared" si="9"/>
        <v>0.35791289348857264</v>
      </c>
    </row>
    <row r="52" spans="1:13" ht="14.25" customHeight="1">
      <c r="A52" s="25" t="s">
        <v>136</v>
      </c>
      <c r="B52" s="23" t="s">
        <v>53</v>
      </c>
      <c r="C52" s="25" t="s">
        <v>137</v>
      </c>
      <c r="D52" s="31" t="s">
        <v>138</v>
      </c>
      <c r="E52" s="25">
        <v>28.5</v>
      </c>
      <c r="F52" s="26">
        <f t="shared" si="5"/>
        <v>23484.042553191492</v>
      </c>
      <c r="G52" s="34">
        <f t="shared" si="6"/>
        <v>28180.851063829788</v>
      </c>
      <c r="H52" s="37">
        <v>264900</v>
      </c>
      <c r="I52" s="36">
        <f t="shared" si="7"/>
        <v>317880</v>
      </c>
      <c r="J52" s="29">
        <v>407900</v>
      </c>
      <c r="K52" s="29">
        <f t="shared" si="8"/>
        <v>489480</v>
      </c>
      <c r="L52" s="30">
        <f t="shared" si="9"/>
        <v>0.35057612159843099</v>
      </c>
    </row>
    <row r="53" spans="1:13" ht="14.25" customHeight="1">
      <c r="A53" s="25" t="s">
        <v>139</v>
      </c>
      <c r="B53" s="23" t="s">
        <v>23</v>
      </c>
      <c r="C53" s="23" t="s">
        <v>68</v>
      </c>
      <c r="D53" s="31" t="s">
        <v>140</v>
      </c>
      <c r="E53" s="25">
        <v>24.5</v>
      </c>
      <c r="F53" s="26">
        <f t="shared" si="5"/>
        <v>16214.5390070922</v>
      </c>
      <c r="G53" s="34">
        <f t="shared" si="6"/>
        <v>19457.446808510638</v>
      </c>
      <c r="H53" s="37">
        <v>182900</v>
      </c>
      <c r="I53" s="36">
        <f t="shared" si="7"/>
        <v>219480</v>
      </c>
      <c r="J53" s="29">
        <v>282900</v>
      </c>
      <c r="K53" s="29">
        <f t="shared" si="8"/>
        <v>339480</v>
      </c>
      <c r="L53" s="30">
        <f t="shared" si="9"/>
        <v>0.35348179568752208</v>
      </c>
    </row>
    <row r="54" spans="1:13" ht="14.25" customHeight="1">
      <c r="A54" s="25" t="s">
        <v>141</v>
      </c>
      <c r="B54" s="23" t="s">
        <v>23</v>
      </c>
      <c r="C54" s="23" t="s">
        <v>68</v>
      </c>
      <c r="D54" s="31" t="s">
        <v>142</v>
      </c>
      <c r="E54" s="25">
        <v>24.5</v>
      </c>
      <c r="F54" s="26">
        <f t="shared" si="5"/>
        <v>16214.5390070922</v>
      </c>
      <c r="G54" s="34">
        <f t="shared" si="6"/>
        <v>19457.446808510638</v>
      </c>
      <c r="H54" s="37">
        <v>182900</v>
      </c>
      <c r="I54" s="36">
        <f t="shared" si="7"/>
        <v>219480</v>
      </c>
      <c r="J54" s="29">
        <v>282900</v>
      </c>
      <c r="K54" s="29">
        <f t="shared" si="8"/>
        <v>339480</v>
      </c>
      <c r="L54" s="30">
        <f t="shared" si="9"/>
        <v>0.35348179568752208</v>
      </c>
    </row>
    <row r="55" spans="1:13" ht="14.25" customHeight="1">
      <c r="A55" s="25" t="s">
        <v>143</v>
      </c>
      <c r="B55" s="23" t="s">
        <v>23</v>
      </c>
      <c r="C55" s="23" t="s">
        <v>68</v>
      </c>
      <c r="D55" s="31" t="s">
        <v>144</v>
      </c>
      <c r="E55" s="25">
        <v>26.9</v>
      </c>
      <c r="F55" s="26">
        <f t="shared" si="5"/>
        <v>20026.595744680853</v>
      </c>
      <c r="G55" s="34">
        <f t="shared" si="6"/>
        <v>24031.914893617024</v>
      </c>
      <c r="H55" s="37">
        <v>225900</v>
      </c>
      <c r="I55" s="36">
        <f t="shared" si="7"/>
        <v>271080</v>
      </c>
      <c r="J55" s="29">
        <v>349900</v>
      </c>
      <c r="K55" s="29">
        <f t="shared" si="8"/>
        <v>419880</v>
      </c>
      <c r="L55" s="30">
        <f t="shared" si="9"/>
        <v>0.35438696770505856</v>
      </c>
    </row>
    <row r="56" spans="1:13" ht="14.25" customHeight="1">
      <c r="A56" s="25" t="s">
        <v>145</v>
      </c>
      <c r="B56" s="23" t="s">
        <v>23</v>
      </c>
      <c r="C56" s="23" t="s">
        <v>68</v>
      </c>
      <c r="D56" s="31" t="s">
        <v>146</v>
      </c>
      <c r="E56" s="25">
        <v>26.9</v>
      </c>
      <c r="F56" s="26">
        <f t="shared" si="5"/>
        <v>20026.595744680853</v>
      </c>
      <c r="G56" s="34">
        <f t="shared" si="6"/>
        <v>24031.914893617024</v>
      </c>
      <c r="H56" s="37">
        <v>225900</v>
      </c>
      <c r="I56" s="36">
        <f t="shared" si="7"/>
        <v>271080</v>
      </c>
      <c r="J56" s="29">
        <v>349900</v>
      </c>
      <c r="K56" s="29">
        <f t="shared" si="8"/>
        <v>419880</v>
      </c>
      <c r="L56" s="30">
        <f t="shared" si="9"/>
        <v>0.35438696770505856</v>
      </c>
    </row>
    <row r="57" spans="1:13" ht="14.25" customHeight="1">
      <c r="A57" s="41" t="s">
        <v>147</v>
      </c>
      <c r="B57" s="41" t="s">
        <v>16</v>
      </c>
      <c r="C57" s="41" t="s">
        <v>148</v>
      </c>
      <c r="D57" s="44" t="s">
        <v>149</v>
      </c>
      <c r="E57" s="41">
        <v>30.5</v>
      </c>
      <c r="F57" s="26">
        <f t="shared" si="5"/>
        <v>67898.936170212764</v>
      </c>
      <c r="G57" s="34">
        <f t="shared" si="6"/>
        <v>81478.723404255317</v>
      </c>
      <c r="H57" s="37">
        <v>765900</v>
      </c>
      <c r="I57" s="36">
        <f t="shared" si="7"/>
        <v>919080</v>
      </c>
      <c r="J57" s="29">
        <v>1190000</v>
      </c>
      <c r="K57" s="29">
        <f t="shared" si="8"/>
        <v>1428000</v>
      </c>
      <c r="L57" s="30">
        <f t="shared" si="9"/>
        <v>0.35638655462184876</v>
      </c>
    </row>
    <row r="58" spans="1:13" ht="14.25" customHeight="1">
      <c r="A58" s="23" t="s">
        <v>150</v>
      </c>
      <c r="B58" s="23" t="s">
        <v>53</v>
      </c>
      <c r="C58" s="23" t="s">
        <v>60</v>
      </c>
      <c r="D58" s="32" t="s">
        <v>151</v>
      </c>
      <c r="E58" s="25">
        <v>34</v>
      </c>
      <c r="F58" s="26">
        <f t="shared" si="5"/>
        <v>34299.645390070924</v>
      </c>
      <c r="G58" s="34">
        <f t="shared" si="6"/>
        <v>41159.574468085106</v>
      </c>
      <c r="H58" s="37">
        <v>386900</v>
      </c>
      <c r="I58" s="36">
        <f t="shared" si="7"/>
        <v>464280</v>
      </c>
      <c r="J58" s="29">
        <v>599900</v>
      </c>
      <c r="K58" s="29">
        <f t="shared" si="8"/>
        <v>719880</v>
      </c>
      <c r="L58" s="30">
        <f t="shared" si="9"/>
        <v>0.35505917652942159</v>
      </c>
    </row>
    <row r="59" spans="1:13" ht="14.25" customHeight="1">
      <c r="A59" s="25" t="s">
        <v>152</v>
      </c>
      <c r="B59" s="23" t="s">
        <v>53</v>
      </c>
      <c r="C59" s="25" t="s">
        <v>153</v>
      </c>
      <c r="D59" s="31" t="s">
        <v>154</v>
      </c>
      <c r="E59" s="25">
        <v>30</v>
      </c>
      <c r="F59" s="26">
        <f t="shared" si="5"/>
        <v>28537.234042553195</v>
      </c>
      <c r="G59" s="34">
        <f t="shared" si="6"/>
        <v>34244.680851063829</v>
      </c>
      <c r="H59" s="37">
        <v>321900</v>
      </c>
      <c r="I59" s="36">
        <f t="shared" si="7"/>
        <v>386280</v>
      </c>
      <c r="J59" s="29">
        <v>494900</v>
      </c>
      <c r="K59" s="29">
        <f t="shared" si="8"/>
        <v>593880</v>
      </c>
      <c r="L59" s="30">
        <f t="shared" si="9"/>
        <v>0.34956556880177814</v>
      </c>
    </row>
    <row r="60" spans="1:13" ht="14.25" customHeight="1">
      <c r="A60" s="25" t="s">
        <v>155</v>
      </c>
      <c r="B60" s="23" t="s">
        <v>53</v>
      </c>
      <c r="C60" s="25" t="s">
        <v>153</v>
      </c>
      <c r="D60" s="31" t="s">
        <v>156</v>
      </c>
      <c r="E60" s="25">
        <v>30.5</v>
      </c>
      <c r="F60" s="26">
        <f t="shared" si="5"/>
        <v>31462.765957446809</v>
      </c>
      <c r="G60" s="34">
        <f t="shared" si="6"/>
        <v>37755.319148936171</v>
      </c>
      <c r="H60" s="37">
        <v>354900</v>
      </c>
      <c r="I60" s="36">
        <f t="shared" si="7"/>
        <v>425880</v>
      </c>
      <c r="J60" s="29">
        <v>545900</v>
      </c>
      <c r="K60" s="29">
        <f t="shared" si="8"/>
        <v>655080</v>
      </c>
      <c r="L60" s="30">
        <f t="shared" si="9"/>
        <v>0.34988093057336511</v>
      </c>
    </row>
    <row r="61" spans="1:13" ht="14.25" customHeight="1">
      <c r="A61" s="25" t="s">
        <v>157</v>
      </c>
      <c r="B61" s="23" t="s">
        <v>53</v>
      </c>
      <c r="C61" s="25" t="s">
        <v>153</v>
      </c>
      <c r="D61" s="31" t="s">
        <v>156</v>
      </c>
      <c r="E61" s="25">
        <v>30.5</v>
      </c>
      <c r="F61" s="26">
        <f t="shared" si="5"/>
        <v>32615.248226950356</v>
      </c>
      <c r="G61" s="34">
        <f t="shared" si="6"/>
        <v>39138.297872340423</v>
      </c>
      <c r="H61" s="37">
        <v>367900</v>
      </c>
      <c r="I61" s="36">
        <f t="shared" si="7"/>
        <v>441480</v>
      </c>
      <c r="J61" s="29">
        <v>565900</v>
      </c>
      <c r="K61" s="29">
        <f t="shared" si="8"/>
        <v>679080</v>
      </c>
      <c r="L61" s="30">
        <f t="shared" si="9"/>
        <v>0.34988513871708782</v>
      </c>
    </row>
    <row r="62" spans="1:13" ht="14.25" customHeight="1">
      <c r="A62" s="25" t="s">
        <v>158</v>
      </c>
      <c r="B62" s="25" t="s">
        <v>53</v>
      </c>
      <c r="C62" s="25" t="s">
        <v>159</v>
      </c>
      <c r="D62" s="32" t="s">
        <v>160</v>
      </c>
      <c r="E62" s="25">
        <v>43</v>
      </c>
      <c r="F62" s="26">
        <f t="shared" si="5"/>
        <v>36693.262411347518</v>
      </c>
      <c r="G62" s="34">
        <f t="shared" si="6"/>
        <v>44031.914893617017</v>
      </c>
      <c r="H62" s="37">
        <v>413900</v>
      </c>
      <c r="I62" s="36">
        <f t="shared" si="7"/>
        <v>496680</v>
      </c>
      <c r="J62" s="29">
        <v>639900</v>
      </c>
      <c r="K62" s="29">
        <f t="shared" si="8"/>
        <v>767880</v>
      </c>
      <c r="L62" s="30">
        <f t="shared" si="9"/>
        <v>0.3531801844038131</v>
      </c>
    </row>
    <row r="63" spans="1:13" ht="14.25" customHeight="1">
      <c r="A63" s="23" t="s">
        <v>161</v>
      </c>
      <c r="B63" s="23" t="s">
        <v>53</v>
      </c>
      <c r="C63" s="23" t="s">
        <v>60</v>
      </c>
      <c r="D63" s="32" t="s">
        <v>162</v>
      </c>
      <c r="E63" s="25">
        <v>35</v>
      </c>
      <c r="F63" s="26">
        <f t="shared" si="5"/>
        <v>39264.184397163124</v>
      </c>
      <c r="G63" s="34">
        <f t="shared" si="6"/>
        <v>47117.021276595748</v>
      </c>
      <c r="H63" s="37">
        <v>442900</v>
      </c>
      <c r="I63" s="36">
        <f t="shared" si="7"/>
        <v>531480</v>
      </c>
      <c r="J63" s="29">
        <v>685900</v>
      </c>
      <c r="K63" s="29">
        <f t="shared" si="8"/>
        <v>823080</v>
      </c>
      <c r="L63" s="30">
        <f t="shared" si="9"/>
        <v>0.35427904942411431</v>
      </c>
    </row>
    <row r="64" spans="1:13" ht="14.25" customHeight="1">
      <c r="A64" s="23" t="s">
        <v>163</v>
      </c>
      <c r="B64" s="23" t="s">
        <v>53</v>
      </c>
      <c r="C64" s="23" t="s">
        <v>63</v>
      </c>
      <c r="D64" s="32" t="s">
        <v>164</v>
      </c>
      <c r="E64" s="25">
        <v>44</v>
      </c>
      <c r="F64" s="26">
        <f t="shared" si="5"/>
        <v>49370.56737588653</v>
      </c>
      <c r="G64" s="34">
        <f t="shared" si="6"/>
        <v>59244.680851063837</v>
      </c>
      <c r="H64" s="37">
        <v>556900</v>
      </c>
      <c r="I64" s="36">
        <f t="shared" si="7"/>
        <v>668280</v>
      </c>
      <c r="J64" s="29">
        <v>859900</v>
      </c>
      <c r="K64" s="29">
        <f t="shared" si="8"/>
        <v>1031880</v>
      </c>
      <c r="L64" s="30">
        <f t="shared" si="9"/>
        <v>0.35236655425049423</v>
      </c>
    </row>
    <row r="65" spans="1:15" ht="14.25" customHeight="1">
      <c r="A65" s="25" t="s">
        <v>165</v>
      </c>
      <c r="B65" s="23" t="s">
        <v>53</v>
      </c>
      <c r="C65" s="25" t="s">
        <v>68</v>
      </c>
      <c r="D65" s="31" t="s">
        <v>166</v>
      </c>
      <c r="E65" s="25">
        <v>54</v>
      </c>
      <c r="F65" s="26">
        <f t="shared" si="5"/>
        <v>58147.163120567377</v>
      </c>
      <c r="G65" s="34">
        <f t="shared" si="6"/>
        <v>69776.595744680846</v>
      </c>
      <c r="H65" s="37">
        <v>655900</v>
      </c>
      <c r="I65" s="36">
        <f t="shared" si="7"/>
        <v>787080</v>
      </c>
      <c r="J65" s="29">
        <v>1009900</v>
      </c>
      <c r="K65" s="29">
        <f t="shared" si="8"/>
        <v>1211880</v>
      </c>
      <c r="L65" s="30">
        <f t="shared" si="9"/>
        <v>0.35052975542132886</v>
      </c>
    </row>
    <row r="66" spans="1:15" ht="14.25" customHeight="1">
      <c r="A66" s="25" t="s">
        <v>167</v>
      </c>
      <c r="B66" s="23" t="s">
        <v>53</v>
      </c>
      <c r="C66" s="25" t="s">
        <v>68</v>
      </c>
      <c r="D66" s="31" t="s">
        <v>168</v>
      </c>
      <c r="E66" s="25">
        <v>54</v>
      </c>
      <c r="F66" s="26">
        <f t="shared" si="5"/>
        <v>61427.304964539013</v>
      </c>
      <c r="G66" s="34">
        <f t="shared" si="6"/>
        <v>73712.765957446813</v>
      </c>
      <c r="H66" s="37">
        <v>692900</v>
      </c>
      <c r="I66" s="36">
        <f t="shared" si="7"/>
        <v>831480</v>
      </c>
      <c r="J66" s="29">
        <v>1069900</v>
      </c>
      <c r="K66" s="29">
        <f t="shared" si="8"/>
        <v>1283880</v>
      </c>
      <c r="L66" s="30">
        <f t="shared" si="9"/>
        <v>0.35236938031591736</v>
      </c>
    </row>
    <row r="67" spans="1:15" ht="14.25" customHeight="1">
      <c r="A67" s="25" t="s">
        <v>169</v>
      </c>
      <c r="B67" s="23" t="s">
        <v>53</v>
      </c>
      <c r="C67" s="25" t="s">
        <v>68</v>
      </c>
      <c r="D67" s="31" t="s">
        <v>168</v>
      </c>
      <c r="E67" s="25">
        <v>54</v>
      </c>
      <c r="F67" s="26">
        <f t="shared" si="5"/>
        <v>62757.092198581566</v>
      </c>
      <c r="G67" s="34">
        <f t="shared" si="6"/>
        <v>75308.51063829787</v>
      </c>
      <c r="H67" s="37">
        <v>707900</v>
      </c>
      <c r="I67" s="36">
        <f t="shared" si="7"/>
        <v>849480</v>
      </c>
      <c r="J67" s="29">
        <v>1089900</v>
      </c>
      <c r="K67" s="29">
        <f t="shared" si="8"/>
        <v>1307880</v>
      </c>
      <c r="L67" s="30">
        <f t="shared" si="9"/>
        <v>0.35049087072208457</v>
      </c>
    </row>
    <row r="68" spans="1:15" ht="14.25" customHeight="1">
      <c r="A68" s="25" t="s">
        <v>170</v>
      </c>
      <c r="B68" s="23" t="s">
        <v>53</v>
      </c>
      <c r="C68" s="25" t="s">
        <v>159</v>
      </c>
      <c r="D68" s="32" t="s">
        <v>160</v>
      </c>
      <c r="E68" s="25">
        <v>45</v>
      </c>
      <c r="F68" s="26">
        <f t="shared" si="5"/>
        <v>62934.397163120571</v>
      </c>
      <c r="G68" s="34">
        <f t="shared" si="6"/>
        <v>75521.276595744683</v>
      </c>
      <c r="H68" s="37">
        <v>709900</v>
      </c>
      <c r="I68" s="36">
        <f t="shared" si="7"/>
        <v>851880</v>
      </c>
      <c r="J68" s="29">
        <v>1094900</v>
      </c>
      <c r="K68" s="29">
        <f t="shared" si="8"/>
        <v>1313880</v>
      </c>
      <c r="L68" s="30">
        <f t="shared" si="9"/>
        <v>0.35163028587085576</v>
      </c>
    </row>
    <row r="69" spans="1:15" ht="14.25" customHeight="1">
      <c r="A69" s="23" t="s">
        <v>171</v>
      </c>
      <c r="B69" s="23" t="s">
        <v>53</v>
      </c>
      <c r="C69" s="25" t="s">
        <v>68</v>
      </c>
      <c r="D69" s="32" t="s">
        <v>172</v>
      </c>
      <c r="E69" s="25">
        <v>52</v>
      </c>
      <c r="F69" s="26">
        <f t="shared" si="5"/>
        <v>62579.78723404256</v>
      </c>
      <c r="G69" s="34">
        <f t="shared" si="6"/>
        <v>75095.744680851072</v>
      </c>
      <c r="H69" s="37">
        <v>705900</v>
      </c>
      <c r="I69" s="36">
        <f t="shared" si="7"/>
        <v>847080</v>
      </c>
      <c r="J69" s="29">
        <v>1086900</v>
      </c>
      <c r="K69" s="29">
        <f t="shared" si="8"/>
        <v>1304280</v>
      </c>
      <c r="L69" s="30">
        <f t="shared" si="9"/>
        <v>0.35053822798785539</v>
      </c>
    </row>
    <row r="70" spans="1:15" ht="14.25" customHeight="1">
      <c r="A70" s="23" t="s">
        <v>173</v>
      </c>
      <c r="B70" s="23" t="s">
        <v>53</v>
      </c>
      <c r="C70" s="25"/>
      <c r="D70" s="32"/>
      <c r="E70" s="25"/>
      <c r="F70" s="26"/>
      <c r="G70" s="34"/>
      <c r="H70" s="52"/>
      <c r="I70" s="36"/>
      <c r="J70" s="29"/>
      <c r="K70" s="29"/>
      <c r="L70" s="30" t="e">
        <f t="shared" si="9"/>
        <v>#DIV/0!</v>
      </c>
    </row>
    <row r="71" spans="1:15" ht="14.25" customHeight="1">
      <c r="A71" s="23" t="s">
        <v>174</v>
      </c>
      <c r="B71" s="23" t="s">
        <v>53</v>
      </c>
      <c r="C71" s="23" t="s">
        <v>68</v>
      </c>
      <c r="D71" s="32" t="s">
        <v>175</v>
      </c>
      <c r="E71" s="25">
        <v>49</v>
      </c>
      <c r="F71" s="26">
        <f t="shared" si="5"/>
        <v>76232.269503546107</v>
      </c>
      <c r="G71" s="34">
        <f t="shared" si="6"/>
        <v>91478.723404255332</v>
      </c>
      <c r="H71" s="42">
        <v>859900</v>
      </c>
      <c r="I71" s="36">
        <f t="shared" si="7"/>
        <v>1031880</v>
      </c>
      <c r="J71" s="29">
        <v>1324900</v>
      </c>
      <c r="K71" s="29">
        <f t="shared" si="8"/>
        <v>1589880</v>
      </c>
      <c r="L71" s="30">
        <f t="shared" si="9"/>
        <v>0.35096988451958638</v>
      </c>
    </row>
    <row r="72" spans="1:15" ht="14.25" customHeight="1" collapsed="1">
      <c r="A72" s="138" t="s">
        <v>176</v>
      </c>
      <c r="B72" s="138"/>
      <c r="C72" s="138"/>
      <c r="D72" s="138"/>
      <c r="E72" s="53"/>
      <c r="F72" s="53"/>
      <c r="G72" s="53"/>
      <c r="H72" s="54"/>
      <c r="I72" s="55"/>
      <c r="J72" s="54"/>
      <c r="K72" s="55"/>
      <c r="L72" s="30"/>
    </row>
    <row r="73" spans="1:15" ht="14.25" customHeight="1">
      <c r="A73" s="18" t="s">
        <v>177</v>
      </c>
      <c r="B73" s="19"/>
      <c r="C73" s="19"/>
      <c r="D73" s="19"/>
      <c r="E73" s="19"/>
      <c r="F73" s="19"/>
      <c r="G73" s="19"/>
      <c r="H73" s="21"/>
      <c r="I73" s="21"/>
      <c r="J73" s="21"/>
      <c r="K73" s="21"/>
      <c r="L73" s="30"/>
    </row>
    <row r="74" spans="1:15" ht="14.25" customHeight="1">
      <c r="A74" s="25" t="s">
        <v>178</v>
      </c>
      <c r="B74" s="25" t="s">
        <v>23</v>
      </c>
      <c r="C74" s="25" t="s">
        <v>179</v>
      </c>
      <c r="D74" s="32" t="s">
        <v>180</v>
      </c>
      <c r="E74" s="33">
        <v>5.8</v>
      </c>
      <c r="F74" s="26">
        <f t="shared" ref="F74:F99" si="10">H74/$F$2</f>
        <v>3803.1914893617022</v>
      </c>
      <c r="G74" s="34">
        <f t="shared" ref="G74:G102" si="11">F74*1.2</f>
        <v>4563.8297872340427</v>
      </c>
      <c r="H74" s="35">
        <v>42900</v>
      </c>
      <c r="I74" s="36">
        <f t="shared" ref="I74:I102" si="12">H74*1.2</f>
        <v>51480</v>
      </c>
      <c r="J74" s="40">
        <v>65900</v>
      </c>
      <c r="K74" s="56">
        <f t="shared" ref="K74:K102" si="13">J74*1.2</f>
        <v>79080</v>
      </c>
      <c r="L74" s="30">
        <f t="shared" ref="L74:L102" si="14">(J74-H74)/J74</f>
        <v>0.34901365705614568</v>
      </c>
    </row>
    <row r="75" spans="1:15" ht="14.25" customHeight="1">
      <c r="A75" s="25" t="s">
        <v>181</v>
      </c>
      <c r="B75" s="25" t="s">
        <v>182</v>
      </c>
      <c r="C75" s="32" t="s">
        <v>183</v>
      </c>
      <c r="D75" s="31" t="s">
        <v>184</v>
      </c>
      <c r="E75" s="33">
        <v>7.7</v>
      </c>
      <c r="F75" s="26">
        <f t="shared" si="10"/>
        <v>3359.9290780141846</v>
      </c>
      <c r="G75" s="34">
        <f t="shared" si="11"/>
        <v>4031.9148936170213</v>
      </c>
      <c r="H75" s="37">
        <v>37900</v>
      </c>
      <c r="I75" s="36">
        <f t="shared" si="12"/>
        <v>45480</v>
      </c>
      <c r="J75" s="40">
        <v>58900</v>
      </c>
      <c r="K75" s="56">
        <f t="shared" si="13"/>
        <v>70680</v>
      </c>
      <c r="L75" s="30">
        <f t="shared" si="14"/>
        <v>0.35653650254668928</v>
      </c>
      <c r="M75" s="1" t="s">
        <v>19</v>
      </c>
      <c r="O75" s="57"/>
    </row>
    <row r="76" spans="1:15" ht="14.25" customHeight="1">
      <c r="A76" s="25" t="s">
        <v>185</v>
      </c>
      <c r="B76" s="25" t="s">
        <v>186</v>
      </c>
      <c r="C76" s="32" t="s">
        <v>187</v>
      </c>
      <c r="D76" s="31" t="s">
        <v>188</v>
      </c>
      <c r="E76" s="33">
        <v>7.8</v>
      </c>
      <c r="F76" s="26">
        <f t="shared" si="10"/>
        <v>3537.2340425531916</v>
      </c>
      <c r="G76" s="34">
        <f t="shared" si="11"/>
        <v>4244.6808510638293</v>
      </c>
      <c r="H76" s="37">
        <v>39900</v>
      </c>
      <c r="I76" s="36">
        <f t="shared" si="12"/>
        <v>47880</v>
      </c>
      <c r="J76" s="40">
        <v>61900</v>
      </c>
      <c r="K76" s="56">
        <f t="shared" si="13"/>
        <v>74280</v>
      </c>
      <c r="L76" s="30">
        <f t="shared" si="14"/>
        <v>0.35541195476575121</v>
      </c>
      <c r="M76" s="1" t="s">
        <v>19</v>
      </c>
      <c r="O76" s="57"/>
    </row>
    <row r="77" spans="1:15" ht="14.25" customHeight="1">
      <c r="A77" s="25" t="s">
        <v>189</v>
      </c>
      <c r="B77" s="23" t="s">
        <v>23</v>
      </c>
      <c r="C77" s="23" t="s">
        <v>190</v>
      </c>
      <c r="D77" s="31" t="s">
        <v>191</v>
      </c>
      <c r="E77" s="33">
        <v>4</v>
      </c>
      <c r="F77" s="26">
        <f t="shared" si="10"/>
        <v>2473.4042553191489</v>
      </c>
      <c r="G77" s="34">
        <f t="shared" si="11"/>
        <v>2968.0851063829787</v>
      </c>
      <c r="H77" s="37">
        <v>27900</v>
      </c>
      <c r="I77" s="36">
        <f t="shared" si="12"/>
        <v>33480</v>
      </c>
      <c r="J77" s="40">
        <v>42900</v>
      </c>
      <c r="K77" s="56">
        <f t="shared" si="13"/>
        <v>51480</v>
      </c>
      <c r="L77" s="30">
        <f t="shared" si="14"/>
        <v>0.34965034965034963</v>
      </c>
      <c r="M77" s="1" t="s">
        <v>19</v>
      </c>
      <c r="O77" s="57"/>
    </row>
    <row r="78" spans="1:15" ht="14.25" customHeight="1">
      <c r="A78" s="25" t="s">
        <v>192</v>
      </c>
      <c r="B78" s="23" t="s">
        <v>23</v>
      </c>
      <c r="C78" s="23" t="s">
        <v>193</v>
      </c>
      <c r="D78" s="31" t="s">
        <v>194</v>
      </c>
      <c r="E78" s="33">
        <v>2.7</v>
      </c>
      <c r="F78" s="26">
        <f t="shared" si="10"/>
        <v>731.38297872340434</v>
      </c>
      <c r="G78" s="34">
        <f t="shared" si="11"/>
        <v>877.65957446808522</v>
      </c>
      <c r="H78" s="37">
        <v>8250</v>
      </c>
      <c r="I78" s="36">
        <f t="shared" si="12"/>
        <v>9900</v>
      </c>
      <c r="J78" s="40">
        <v>12750</v>
      </c>
      <c r="K78" s="56">
        <f t="shared" si="13"/>
        <v>15300</v>
      </c>
      <c r="L78" s="30">
        <f t="shared" si="14"/>
        <v>0.35294117647058826</v>
      </c>
      <c r="O78" s="57"/>
    </row>
    <row r="79" spans="1:15" ht="14.25" customHeight="1">
      <c r="A79" s="25" t="s">
        <v>195</v>
      </c>
      <c r="B79" s="23" t="s">
        <v>196</v>
      </c>
      <c r="C79" s="23" t="s">
        <v>193</v>
      </c>
      <c r="D79" s="31" t="s">
        <v>194</v>
      </c>
      <c r="E79" s="33">
        <v>2.7</v>
      </c>
      <c r="F79" s="26">
        <f t="shared" si="10"/>
        <v>789.00709219858163</v>
      </c>
      <c r="G79" s="34">
        <f t="shared" si="11"/>
        <v>946.80851063829789</v>
      </c>
      <c r="H79" s="37">
        <v>8900</v>
      </c>
      <c r="I79" s="36">
        <f t="shared" si="12"/>
        <v>10680</v>
      </c>
      <c r="J79" s="40">
        <v>13900</v>
      </c>
      <c r="K79" s="56">
        <f t="shared" si="13"/>
        <v>16680</v>
      </c>
      <c r="L79" s="30">
        <f t="shared" si="14"/>
        <v>0.35971223021582732</v>
      </c>
    </row>
    <row r="80" spans="1:15" ht="14.25" customHeight="1">
      <c r="A80" s="25" t="s">
        <v>197</v>
      </c>
      <c r="B80" s="23" t="s">
        <v>198</v>
      </c>
      <c r="C80" s="23" t="s">
        <v>193</v>
      </c>
      <c r="D80" s="31" t="s">
        <v>194</v>
      </c>
      <c r="E80" s="33">
        <v>2.7</v>
      </c>
      <c r="F80" s="26">
        <f t="shared" si="10"/>
        <v>877.65957446808511</v>
      </c>
      <c r="G80" s="34">
        <f t="shared" si="11"/>
        <v>1053.191489361702</v>
      </c>
      <c r="H80" s="37">
        <v>9900</v>
      </c>
      <c r="I80" s="36">
        <f t="shared" si="12"/>
        <v>11880</v>
      </c>
      <c r="J80" s="40">
        <v>15900</v>
      </c>
      <c r="K80" s="56">
        <f t="shared" si="13"/>
        <v>19080</v>
      </c>
      <c r="L80" s="30">
        <f t="shared" si="14"/>
        <v>0.37735849056603776</v>
      </c>
    </row>
    <row r="81" spans="1:15" ht="14.25" customHeight="1">
      <c r="A81" s="25" t="s">
        <v>199</v>
      </c>
      <c r="B81" s="23" t="s">
        <v>198</v>
      </c>
      <c r="C81" s="23" t="s">
        <v>193</v>
      </c>
      <c r="D81" s="31" t="s">
        <v>194</v>
      </c>
      <c r="E81" s="33">
        <v>3.5</v>
      </c>
      <c r="F81" s="26">
        <f t="shared" si="10"/>
        <v>1586.8794326241136</v>
      </c>
      <c r="G81" s="34">
        <f t="shared" si="11"/>
        <v>1904.2553191489362</v>
      </c>
      <c r="H81" s="37">
        <v>17900</v>
      </c>
      <c r="I81" s="36">
        <f t="shared" si="12"/>
        <v>21480</v>
      </c>
      <c r="J81" s="40">
        <v>27900</v>
      </c>
      <c r="K81" s="56">
        <f t="shared" si="13"/>
        <v>33480</v>
      </c>
      <c r="L81" s="30">
        <f t="shared" si="14"/>
        <v>0.35842293906810035</v>
      </c>
    </row>
    <row r="82" spans="1:15" ht="14.25" customHeight="1">
      <c r="A82" s="25" t="s">
        <v>200</v>
      </c>
      <c r="B82" s="23" t="s">
        <v>186</v>
      </c>
      <c r="C82" s="23" t="s">
        <v>201</v>
      </c>
      <c r="D82" s="31" t="s">
        <v>202</v>
      </c>
      <c r="E82" s="33">
        <v>4.2</v>
      </c>
      <c r="F82" s="26">
        <f t="shared" si="10"/>
        <v>1409.5744680851064</v>
      </c>
      <c r="G82" s="34">
        <f t="shared" si="11"/>
        <v>1691.4893617021278</v>
      </c>
      <c r="H82" s="37">
        <v>15900</v>
      </c>
      <c r="I82" s="36">
        <f t="shared" si="12"/>
        <v>19080</v>
      </c>
      <c r="J82" s="40">
        <v>24900</v>
      </c>
      <c r="K82" s="56">
        <f t="shared" si="13"/>
        <v>29880</v>
      </c>
      <c r="L82" s="30">
        <f t="shared" si="14"/>
        <v>0.36144578313253012</v>
      </c>
      <c r="M82" s="1" t="s">
        <v>19</v>
      </c>
      <c r="O82" s="57"/>
    </row>
    <row r="83" spans="1:15" ht="14.25" customHeight="1">
      <c r="A83" s="25" t="s">
        <v>203</v>
      </c>
      <c r="B83" s="23" t="s">
        <v>186</v>
      </c>
      <c r="C83" s="23" t="s">
        <v>201</v>
      </c>
      <c r="D83" s="31" t="s">
        <v>202</v>
      </c>
      <c r="E83" s="33">
        <v>4.5</v>
      </c>
      <c r="F83" s="26">
        <f t="shared" si="10"/>
        <v>1586.8794326241136</v>
      </c>
      <c r="G83" s="34">
        <f t="shared" si="11"/>
        <v>1904.2553191489362</v>
      </c>
      <c r="H83" s="37">
        <v>17900</v>
      </c>
      <c r="I83" s="36">
        <f t="shared" si="12"/>
        <v>21480</v>
      </c>
      <c r="J83" s="40">
        <v>27900</v>
      </c>
      <c r="K83" s="56">
        <f t="shared" si="13"/>
        <v>33480</v>
      </c>
      <c r="L83" s="30">
        <f t="shared" si="14"/>
        <v>0.35842293906810035</v>
      </c>
      <c r="M83" s="1" t="s">
        <v>19</v>
      </c>
      <c r="O83" s="57"/>
    </row>
    <row r="84" spans="1:15" ht="14.25" customHeight="1">
      <c r="A84" s="25" t="s">
        <v>204</v>
      </c>
      <c r="B84" s="23" t="s">
        <v>186</v>
      </c>
      <c r="C84" s="23" t="s">
        <v>205</v>
      </c>
      <c r="D84" s="31" t="s">
        <v>206</v>
      </c>
      <c r="E84" s="33">
        <v>8</v>
      </c>
      <c r="F84" s="26">
        <f t="shared" si="10"/>
        <v>2916.666666666667</v>
      </c>
      <c r="G84" s="34">
        <f t="shared" si="11"/>
        <v>3500.0000000000005</v>
      </c>
      <c r="H84" s="37">
        <v>32900</v>
      </c>
      <c r="I84" s="36">
        <f t="shared" si="12"/>
        <v>39480</v>
      </c>
      <c r="J84" s="40">
        <v>50900</v>
      </c>
      <c r="K84" s="56">
        <f t="shared" si="13"/>
        <v>61080</v>
      </c>
      <c r="L84" s="30">
        <f t="shared" si="14"/>
        <v>0.35363457760314343</v>
      </c>
      <c r="M84" s="1" t="s">
        <v>19</v>
      </c>
    </row>
    <row r="85" spans="1:15" ht="14.25" customHeight="1">
      <c r="A85" s="25" t="s">
        <v>207</v>
      </c>
      <c r="B85" s="25" t="s">
        <v>123</v>
      </c>
      <c r="C85" s="25" t="s">
        <v>208</v>
      </c>
      <c r="D85" s="32" t="s">
        <v>209</v>
      </c>
      <c r="E85" s="33">
        <v>7</v>
      </c>
      <c r="F85" s="26">
        <f t="shared" si="10"/>
        <v>4689.7163120567375</v>
      </c>
      <c r="G85" s="34">
        <f t="shared" si="11"/>
        <v>5627.6595744680844</v>
      </c>
      <c r="H85" s="37">
        <v>52900</v>
      </c>
      <c r="I85" s="36">
        <f t="shared" si="12"/>
        <v>63480</v>
      </c>
      <c r="J85" s="40">
        <v>81900</v>
      </c>
      <c r="K85" s="56">
        <f t="shared" si="13"/>
        <v>98280</v>
      </c>
      <c r="L85" s="30">
        <f t="shared" si="14"/>
        <v>0.35409035409035411</v>
      </c>
      <c r="M85" s="1" t="s">
        <v>19</v>
      </c>
    </row>
    <row r="86" spans="1:15" ht="14.25" customHeight="1">
      <c r="A86" s="25" t="s">
        <v>210</v>
      </c>
      <c r="B86" s="25" t="s">
        <v>23</v>
      </c>
      <c r="C86" s="25" t="s">
        <v>83</v>
      </c>
      <c r="D86" s="32" t="s">
        <v>211</v>
      </c>
      <c r="E86" s="33">
        <v>8.1999999999999993</v>
      </c>
      <c r="F86" s="26">
        <f t="shared" si="10"/>
        <v>5576.2411347517736</v>
      </c>
      <c r="G86" s="34">
        <f t="shared" si="11"/>
        <v>6691.489361702128</v>
      </c>
      <c r="H86" s="37">
        <v>62900</v>
      </c>
      <c r="I86" s="36">
        <f t="shared" si="12"/>
        <v>75480</v>
      </c>
      <c r="J86" s="40">
        <v>96900</v>
      </c>
      <c r="K86" s="56">
        <f t="shared" si="13"/>
        <v>116280</v>
      </c>
      <c r="L86" s="30">
        <f t="shared" si="14"/>
        <v>0.35087719298245612</v>
      </c>
      <c r="M86" s="1" t="s">
        <v>19</v>
      </c>
    </row>
    <row r="87" spans="1:15" ht="14.25" customHeight="1">
      <c r="A87" s="25" t="s">
        <v>212</v>
      </c>
      <c r="B87" s="25" t="s">
        <v>95</v>
      </c>
      <c r="C87" s="25" t="s">
        <v>83</v>
      </c>
      <c r="D87" s="32" t="s">
        <v>211</v>
      </c>
      <c r="E87" s="33">
        <v>8.1999999999999993</v>
      </c>
      <c r="F87" s="26">
        <f t="shared" si="10"/>
        <v>6019.5035460992913</v>
      </c>
      <c r="G87" s="34">
        <f t="shared" si="11"/>
        <v>7223.4042553191493</v>
      </c>
      <c r="H87" s="42">
        <v>67900</v>
      </c>
      <c r="I87" s="36">
        <f t="shared" si="12"/>
        <v>81480</v>
      </c>
      <c r="J87" s="40">
        <v>104900</v>
      </c>
      <c r="K87" s="56">
        <f t="shared" si="13"/>
        <v>125880</v>
      </c>
      <c r="L87" s="30">
        <f t="shared" si="14"/>
        <v>0.35271687321258344</v>
      </c>
      <c r="M87" s="1" t="s">
        <v>19</v>
      </c>
    </row>
    <row r="88" spans="1:15" ht="14.25" customHeight="1">
      <c r="A88" s="18" t="s">
        <v>213</v>
      </c>
      <c r="B88" s="19"/>
      <c r="C88" s="19"/>
      <c r="D88" s="19"/>
      <c r="E88" s="19"/>
      <c r="F88" s="19"/>
      <c r="G88" s="19"/>
      <c r="H88" s="21"/>
      <c r="I88" s="21"/>
      <c r="J88" s="21"/>
      <c r="K88" s="21"/>
      <c r="L88" s="30"/>
    </row>
    <row r="89" spans="1:15" ht="14.25" customHeight="1">
      <c r="A89" s="25" t="s">
        <v>214</v>
      </c>
      <c r="B89" s="23" t="s">
        <v>215</v>
      </c>
      <c r="C89" s="23" t="s">
        <v>216</v>
      </c>
      <c r="D89" s="31" t="s">
        <v>217</v>
      </c>
      <c r="E89" s="33">
        <v>1.85</v>
      </c>
      <c r="F89" s="26">
        <f t="shared" si="10"/>
        <v>1054.9645390070923</v>
      </c>
      <c r="G89" s="34">
        <f t="shared" si="11"/>
        <v>1265.9574468085107</v>
      </c>
      <c r="H89" s="35">
        <v>11900</v>
      </c>
      <c r="I89" s="36">
        <f t="shared" si="12"/>
        <v>14280</v>
      </c>
      <c r="J89" s="40">
        <v>18900</v>
      </c>
      <c r="K89" s="56">
        <f t="shared" si="13"/>
        <v>22680</v>
      </c>
      <c r="L89" s="30"/>
      <c r="O89" s="57"/>
    </row>
    <row r="90" spans="1:15" ht="14.25" customHeight="1">
      <c r="A90" s="25" t="s">
        <v>218</v>
      </c>
      <c r="B90" s="23" t="s">
        <v>23</v>
      </c>
      <c r="C90" s="23" t="s">
        <v>216</v>
      </c>
      <c r="D90" s="31" t="s">
        <v>217</v>
      </c>
      <c r="E90" s="33">
        <v>1.85</v>
      </c>
      <c r="F90" s="26">
        <f t="shared" si="10"/>
        <v>1232.2695035460993</v>
      </c>
      <c r="G90" s="34">
        <f t="shared" si="11"/>
        <v>1478.7234042553191</v>
      </c>
      <c r="H90" s="37">
        <v>13900</v>
      </c>
      <c r="I90" s="36">
        <f t="shared" si="12"/>
        <v>16680</v>
      </c>
      <c r="J90" s="40">
        <v>20900</v>
      </c>
      <c r="K90" s="56">
        <f t="shared" si="13"/>
        <v>25080</v>
      </c>
      <c r="L90" s="30"/>
      <c r="O90" s="57"/>
    </row>
    <row r="91" spans="1:15" ht="14.25" customHeight="1">
      <c r="A91" s="25" t="s">
        <v>219</v>
      </c>
      <c r="B91" s="23" t="s">
        <v>215</v>
      </c>
      <c r="C91" s="25" t="s">
        <v>220</v>
      </c>
      <c r="D91" s="31" t="s">
        <v>221</v>
      </c>
      <c r="E91" s="33">
        <v>4</v>
      </c>
      <c r="F91" s="26">
        <f t="shared" si="10"/>
        <v>1320.921985815603</v>
      </c>
      <c r="G91" s="34">
        <f t="shared" si="11"/>
        <v>1585.1063829787236</v>
      </c>
      <c r="H91" s="37">
        <v>14900</v>
      </c>
      <c r="I91" s="36">
        <f t="shared" si="12"/>
        <v>17880</v>
      </c>
      <c r="J91" s="40">
        <v>23900</v>
      </c>
      <c r="K91" s="56">
        <f t="shared" si="13"/>
        <v>28680</v>
      </c>
      <c r="L91" s="30">
        <f t="shared" si="14"/>
        <v>0.37656903765690375</v>
      </c>
    </row>
    <row r="92" spans="1:15" ht="14.25" hidden="1" customHeight="1">
      <c r="A92" s="25" t="s">
        <v>222</v>
      </c>
      <c r="B92" s="23" t="s">
        <v>223</v>
      </c>
      <c r="C92" s="25" t="s">
        <v>224</v>
      </c>
      <c r="D92" s="32" t="s">
        <v>225</v>
      </c>
      <c r="E92" s="33">
        <v>8.6999999999999993</v>
      </c>
      <c r="F92" s="26">
        <f t="shared" si="10"/>
        <v>0</v>
      </c>
      <c r="G92" s="34">
        <f t="shared" si="11"/>
        <v>0</v>
      </c>
      <c r="H92" s="37"/>
      <c r="I92" s="36">
        <f t="shared" si="12"/>
        <v>0</v>
      </c>
      <c r="J92" s="40"/>
      <c r="K92" s="56">
        <f t="shared" si="13"/>
        <v>0</v>
      </c>
      <c r="L92" s="30" t="e">
        <f t="shared" si="14"/>
        <v>#DIV/0!</v>
      </c>
    </row>
    <row r="93" spans="1:15" ht="14.25" hidden="1" customHeight="1">
      <c r="A93" s="25" t="s">
        <v>226</v>
      </c>
      <c r="B93" s="23" t="s">
        <v>196</v>
      </c>
      <c r="C93" s="25" t="s">
        <v>224</v>
      </c>
      <c r="D93" s="32" t="s">
        <v>227</v>
      </c>
      <c r="E93" s="33">
        <v>8.6999999999999993</v>
      </c>
      <c r="F93" s="26">
        <f t="shared" si="10"/>
        <v>0</v>
      </c>
      <c r="G93" s="34">
        <f t="shared" si="11"/>
        <v>0</v>
      </c>
      <c r="H93" s="37"/>
      <c r="I93" s="36">
        <f t="shared" si="12"/>
        <v>0</v>
      </c>
      <c r="J93" s="40"/>
      <c r="K93" s="56">
        <f t="shared" si="13"/>
        <v>0</v>
      </c>
      <c r="L93" s="30" t="e">
        <f t="shared" si="14"/>
        <v>#DIV/0!</v>
      </c>
    </row>
    <row r="94" spans="1:15" ht="14.25" hidden="1" customHeight="1">
      <c r="A94" s="25" t="s">
        <v>228</v>
      </c>
      <c r="B94" s="23" t="s">
        <v>223</v>
      </c>
      <c r="C94" s="25" t="s">
        <v>229</v>
      </c>
      <c r="D94" s="31" t="s">
        <v>230</v>
      </c>
      <c r="E94" s="33">
        <v>5</v>
      </c>
      <c r="F94" s="26">
        <f t="shared" si="10"/>
        <v>0</v>
      </c>
      <c r="G94" s="34">
        <f t="shared" si="11"/>
        <v>0</v>
      </c>
      <c r="H94" s="37"/>
      <c r="I94" s="36">
        <f t="shared" si="12"/>
        <v>0</v>
      </c>
      <c r="J94" s="40"/>
      <c r="K94" s="56">
        <f t="shared" si="13"/>
        <v>0</v>
      </c>
      <c r="L94" s="30" t="e">
        <f t="shared" si="14"/>
        <v>#DIV/0!</v>
      </c>
    </row>
    <row r="95" spans="1:15" ht="14.25" hidden="1" customHeight="1">
      <c r="A95" s="25" t="s">
        <v>231</v>
      </c>
      <c r="B95" s="23" t="s">
        <v>196</v>
      </c>
      <c r="C95" s="25" t="s">
        <v>229</v>
      </c>
      <c r="D95" s="31" t="s">
        <v>232</v>
      </c>
      <c r="E95" s="33">
        <v>5</v>
      </c>
      <c r="F95" s="26">
        <f t="shared" si="10"/>
        <v>3093.9716312056739</v>
      </c>
      <c r="G95" s="34">
        <f t="shared" si="11"/>
        <v>3712.7659574468084</v>
      </c>
      <c r="H95" s="37">
        <v>34900</v>
      </c>
      <c r="I95" s="36">
        <f t="shared" si="12"/>
        <v>41880</v>
      </c>
      <c r="J95" s="40">
        <v>53900</v>
      </c>
      <c r="K95" s="56">
        <f t="shared" si="13"/>
        <v>64680</v>
      </c>
      <c r="L95" s="30">
        <f t="shared" si="14"/>
        <v>0.35250463821892392</v>
      </c>
    </row>
    <row r="96" spans="1:15" ht="14.25" customHeight="1">
      <c r="A96" s="25" t="s">
        <v>233</v>
      </c>
      <c r="B96" s="23" t="s">
        <v>223</v>
      </c>
      <c r="C96" s="25" t="s">
        <v>220</v>
      </c>
      <c r="D96" s="31" t="s">
        <v>221</v>
      </c>
      <c r="E96" s="33">
        <v>4.5999999999999996</v>
      </c>
      <c r="F96" s="26">
        <f t="shared" si="10"/>
        <v>1586.8794326241136</v>
      </c>
      <c r="G96" s="34">
        <f t="shared" si="11"/>
        <v>1904.2553191489362</v>
      </c>
      <c r="H96" s="37">
        <v>17900</v>
      </c>
      <c r="I96" s="36">
        <f t="shared" si="12"/>
        <v>21480</v>
      </c>
      <c r="J96" s="40">
        <v>27900</v>
      </c>
      <c r="K96" s="56">
        <f t="shared" si="13"/>
        <v>33480</v>
      </c>
      <c r="L96" s="30">
        <f t="shared" si="14"/>
        <v>0.35842293906810035</v>
      </c>
    </row>
    <row r="97" spans="1:13" ht="14.25" customHeight="1">
      <c r="A97" s="25" t="s">
        <v>234</v>
      </c>
      <c r="B97" s="23" t="s">
        <v>215</v>
      </c>
      <c r="C97" s="25" t="s">
        <v>220</v>
      </c>
      <c r="D97" s="31" t="s">
        <v>221</v>
      </c>
      <c r="E97" s="33">
        <v>4.5999999999999996</v>
      </c>
      <c r="F97" s="26">
        <f t="shared" si="10"/>
        <v>2030.1418439716313</v>
      </c>
      <c r="G97" s="34">
        <f t="shared" si="11"/>
        <v>2436.1702127659573</v>
      </c>
      <c r="H97" s="37">
        <v>22900</v>
      </c>
      <c r="I97" s="36">
        <f t="shared" si="12"/>
        <v>27480</v>
      </c>
      <c r="J97" s="40">
        <v>35900</v>
      </c>
      <c r="K97" s="56">
        <f t="shared" si="13"/>
        <v>43080</v>
      </c>
      <c r="L97" s="30">
        <f t="shared" si="14"/>
        <v>0.36211699164345401</v>
      </c>
    </row>
    <row r="98" spans="1:13" ht="14.25" customHeight="1">
      <c r="A98" s="25" t="s">
        <v>235</v>
      </c>
      <c r="B98" s="23" t="s">
        <v>196</v>
      </c>
      <c r="C98" s="25" t="s">
        <v>220</v>
      </c>
      <c r="D98" s="31" t="s">
        <v>221</v>
      </c>
      <c r="E98" s="33">
        <v>4.5999999999999996</v>
      </c>
      <c r="F98" s="26">
        <f t="shared" si="10"/>
        <v>2207.4468085106382</v>
      </c>
      <c r="G98" s="34">
        <f t="shared" si="11"/>
        <v>2648.9361702127658</v>
      </c>
      <c r="H98" s="37">
        <v>24900</v>
      </c>
      <c r="I98" s="36">
        <f t="shared" si="12"/>
        <v>29880</v>
      </c>
      <c r="J98" s="40">
        <v>38900</v>
      </c>
      <c r="K98" s="56">
        <f t="shared" si="13"/>
        <v>46680</v>
      </c>
      <c r="L98" s="30">
        <f t="shared" si="14"/>
        <v>0.35989717223650386</v>
      </c>
    </row>
    <row r="99" spans="1:13" ht="14.25" customHeight="1">
      <c r="A99" s="46" t="s">
        <v>236</v>
      </c>
      <c r="B99" s="23" t="s">
        <v>223</v>
      </c>
      <c r="C99" s="25" t="s">
        <v>98</v>
      </c>
      <c r="D99" s="31" t="s">
        <v>221</v>
      </c>
      <c r="E99" s="33">
        <v>6.9</v>
      </c>
      <c r="F99" s="26">
        <f t="shared" si="10"/>
        <v>3093.9716312056739</v>
      </c>
      <c r="G99" s="34">
        <f t="shared" si="11"/>
        <v>3712.7659574468084</v>
      </c>
      <c r="H99" s="42">
        <v>34900</v>
      </c>
      <c r="I99" s="36">
        <f t="shared" si="12"/>
        <v>41880</v>
      </c>
      <c r="J99" s="58">
        <v>54900</v>
      </c>
      <c r="K99" s="56">
        <f t="shared" si="13"/>
        <v>65880</v>
      </c>
      <c r="L99" s="30">
        <f t="shared" si="14"/>
        <v>0.36429872495446264</v>
      </c>
    </row>
    <row r="100" spans="1:13" ht="14.25" customHeight="1">
      <c r="A100" s="18" t="s">
        <v>237</v>
      </c>
      <c r="B100" s="19"/>
      <c r="C100" s="19"/>
      <c r="D100" s="19"/>
      <c r="E100" s="19"/>
      <c r="F100" s="19"/>
      <c r="G100" s="19"/>
      <c r="H100" s="21"/>
      <c r="I100" s="21"/>
      <c r="J100" s="21"/>
      <c r="K100" s="21"/>
      <c r="L100" s="30"/>
    </row>
    <row r="101" spans="1:13" ht="14.25" customHeight="1">
      <c r="A101" s="25" t="s">
        <v>238</v>
      </c>
      <c r="B101" s="23" t="s">
        <v>198</v>
      </c>
      <c r="C101" s="25" t="s">
        <v>239</v>
      </c>
      <c r="D101" s="31" t="s">
        <v>240</v>
      </c>
      <c r="E101" s="59">
        <v>8.5</v>
      </c>
      <c r="F101" s="26">
        <f t="shared" ref="F101:F153" si="15">H101/$F$2</f>
        <v>2828.0141843971633</v>
      </c>
      <c r="G101" s="34">
        <f t="shared" si="11"/>
        <v>3393.617021276596</v>
      </c>
      <c r="H101" s="35">
        <v>31900</v>
      </c>
      <c r="I101" s="36">
        <f t="shared" si="12"/>
        <v>38280</v>
      </c>
      <c r="J101" s="40">
        <v>49900</v>
      </c>
      <c r="K101" s="56">
        <f t="shared" si="13"/>
        <v>59880</v>
      </c>
      <c r="L101" s="30">
        <f t="shared" si="14"/>
        <v>0.36072144288577157</v>
      </c>
    </row>
    <row r="102" spans="1:13" ht="14.25" hidden="1" customHeight="1">
      <c r="A102" s="60" t="s">
        <v>241</v>
      </c>
      <c r="B102" s="60" t="s">
        <v>186</v>
      </c>
      <c r="C102" s="60" t="s">
        <v>239</v>
      </c>
      <c r="D102" s="61" t="s">
        <v>242</v>
      </c>
      <c r="E102" s="33">
        <v>9</v>
      </c>
      <c r="F102" s="26">
        <f t="shared" si="15"/>
        <v>5221.6312056737588</v>
      </c>
      <c r="G102" s="34">
        <f t="shared" si="11"/>
        <v>6265.9574468085102</v>
      </c>
      <c r="H102" s="37">
        <v>58900</v>
      </c>
      <c r="I102" s="36">
        <f t="shared" si="12"/>
        <v>70680</v>
      </c>
      <c r="J102" s="40">
        <v>90900</v>
      </c>
      <c r="K102" s="56">
        <f t="shared" si="13"/>
        <v>109080</v>
      </c>
      <c r="L102" s="30">
        <f t="shared" si="14"/>
        <v>0.35203520352035206</v>
      </c>
      <c r="M102" s="1" t="s">
        <v>19</v>
      </c>
    </row>
    <row r="103" spans="1:13" ht="14.25" customHeight="1">
      <c r="A103" s="25" t="s">
        <v>243</v>
      </c>
      <c r="B103" s="23" t="s">
        <v>186</v>
      </c>
      <c r="C103" s="25" t="s">
        <v>183</v>
      </c>
      <c r="D103" s="31" t="s">
        <v>244</v>
      </c>
      <c r="E103" s="62">
        <v>7.5</v>
      </c>
      <c r="F103" s="26">
        <f t="shared" si="15"/>
        <v>3803.1914893617022</v>
      </c>
      <c r="G103" s="34">
        <f t="shared" ref="G103:G155" si="16">F103*1.2</f>
        <v>4563.8297872340427</v>
      </c>
      <c r="H103" s="37">
        <v>42900</v>
      </c>
      <c r="I103" s="36">
        <f t="shared" ref="I103:I155" si="17">H103*1.2</f>
        <v>51480</v>
      </c>
      <c r="J103" s="40">
        <v>66900</v>
      </c>
      <c r="K103" s="56">
        <f t="shared" ref="K103:K155" si="18">J103*1.2</f>
        <v>80280</v>
      </c>
      <c r="L103" s="30">
        <f t="shared" ref="L103:L155" si="19">(J103-H103)/J103</f>
        <v>0.35874439461883406</v>
      </c>
    </row>
    <row r="104" spans="1:13" ht="14.25" customHeight="1">
      <c r="A104" s="25" t="s">
        <v>245</v>
      </c>
      <c r="B104" s="23" t="s">
        <v>186</v>
      </c>
      <c r="C104" s="25" t="s">
        <v>246</v>
      </c>
      <c r="D104" s="31" t="s">
        <v>244</v>
      </c>
      <c r="E104" s="62">
        <v>9.5</v>
      </c>
      <c r="F104" s="26">
        <f t="shared" si="15"/>
        <v>5310.2836879432625</v>
      </c>
      <c r="G104" s="34">
        <f t="shared" si="16"/>
        <v>6372.3404255319147</v>
      </c>
      <c r="H104" s="37">
        <v>59900</v>
      </c>
      <c r="I104" s="36">
        <f t="shared" si="17"/>
        <v>71880</v>
      </c>
      <c r="J104" s="40">
        <v>92900</v>
      </c>
      <c r="K104" s="56">
        <f t="shared" si="18"/>
        <v>111480</v>
      </c>
      <c r="L104" s="30">
        <f t="shared" si="19"/>
        <v>0.35522066738428415</v>
      </c>
    </row>
    <row r="105" spans="1:13" ht="14.25" customHeight="1">
      <c r="A105" s="25" t="s">
        <v>247</v>
      </c>
      <c r="B105" s="23" t="s">
        <v>198</v>
      </c>
      <c r="C105" s="25" t="s">
        <v>248</v>
      </c>
      <c r="D105" s="31"/>
      <c r="E105" s="59">
        <v>4</v>
      </c>
      <c r="F105" s="26">
        <f t="shared" si="15"/>
        <v>3093.9716312056739</v>
      </c>
      <c r="G105" s="34">
        <f t="shared" si="16"/>
        <v>3712.7659574468084</v>
      </c>
      <c r="H105" s="37">
        <v>34900</v>
      </c>
      <c r="I105" s="36">
        <f t="shared" si="17"/>
        <v>41880</v>
      </c>
      <c r="J105" s="40">
        <v>53900</v>
      </c>
      <c r="K105" s="56">
        <f t="shared" si="18"/>
        <v>64680</v>
      </c>
      <c r="L105" s="30">
        <f t="shared" si="19"/>
        <v>0.35250463821892392</v>
      </c>
      <c r="M105" s="1" t="s">
        <v>19</v>
      </c>
    </row>
    <row r="106" spans="1:13" ht="14.25" customHeight="1">
      <c r="A106" s="25" t="s">
        <v>249</v>
      </c>
      <c r="B106" s="23" t="s">
        <v>23</v>
      </c>
      <c r="C106" s="23" t="s">
        <v>250</v>
      </c>
      <c r="D106" s="31" t="s">
        <v>251</v>
      </c>
      <c r="E106" s="62">
        <v>13.6</v>
      </c>
      <c r="F106" s="26">
        <f t="shared" si="15"/>
        <v>10186.170212765957</v>
      </c>
      <c r="G106" s="34">
        <f t="shared" si="16"/>
        <v>12223.404255319148</v>
      </c>
      <c r="H106" s="37">
        <v>114900</v>
      </c>
      <c r="I106" s="36">
        <f t="shared" si="17"/>
        <v>137880</v>
      </c>
      <c r="J106" s="40">
        <v>177900</v>
      </c>
      <c r="K106" s="56">
        <f t="shared" si="18"/>
        <v>213480</v>
      </c>
      <c r="L106" s="30">
        <f t="shared" si="19"/>
        <v>0.35413153456998314</v>
      </c>
    </row>
    <row r="107" spans="1:13" ht="14.25" customHeight="1">
      <c r="A107" s="25" t="s">
        <v>252</v>
      </c>
      <c r="B107" s="23" t="s">
        <v>196</v>
      </c>
      <c r="C107" s="23" t="s">
        <v>253</v>
      </c>
      <c r="D107" s="31" t="s">
        <v>240</v>
      </c>
      <c r="E107" s="62">
        <v>9</v>
      </c>
      <c r="F107" s="26">
        <f t="shared" si="15"/>
        <v>5044.3262411347523</v>
      </c>
      <c r="G107" s="34">
        <f t="shared" si="16"/>
        <v>6053.1914893617022</v>
      </c>
      <c r="H107" s="37">
        <v>56900</v>
      </c>
      <c r="I107" s="36">
        <f t="shared" si="17"/>
        <v>68280</v>
      </c>
      <c r="J107" s="40">
        <v>87900</v>
      </c>
      <c r="K107" s="56">
        <f t="shared" si="18"/>
        <v>105480</v>
      </c>
      <c r="L107" s="30">
        <f t="shared" si="19"/>
        <v>0.35267349260523323</v>
      </c>
      <c r="M107" s="1" t="s">
        <v>19</v>
      </c>
    </row>
    <row r="108" spans="1:13" ht="14.25" customHeight="1">
      <c r="A108" s="25" t="s">
        <v>254</v>
      </c>
      <c r="B108" s="23" t="s">
        <v>23</v>
      </c>
      <c r="C108" s="23" t="s">
        <v>255</v>
      </c>
      <c r="D108" s="31" t="s">
        <v>256</v>
      </c>
      <c r="E108" s="62">
        <v>12</v>
      </c>
      <c r="F108" s="26">
        <f t="shared" si="15"/>
        <v>7881.2056737588655</v>
      </c>
      <c r="G108" s="34">
        <f t="shared" si="16"/>
        <v>9457.4468085106382</v>
      </c>
      <c r="H108" s="37">
        <v>88900</v>
      </c>
      <c r="I108" s="36">
        <f t="shared" si="17"/>
        <v>106680</v>
      </c>
      <c r="J108" s="40">
        <v>138900</v>
      </c>
      <c r="K108" s="56">
        <f t="shared" si="18"/>
        <v>166680</v>
      </c>
      <c r="L108" s="30">
        <f t="shared" si="19"/>
        <v>0.35997120230381568</v>
      </c>
    </row>
    <row r="109" spans="1:13" ht="14.25" customHeight="1">
      <c r="A109" s="25" t="s">
        <v>257</v>
      </c>
      <c r="B109" s="23" t="s">
        <v>258</v>
      </c>
      <c r="C109" s="23" t="s">
        <v>259</v>
      </c>
      <c r="D109" s="31"/>
      <c r="E109" s="62">
        <v>7.5</v>
      </c>
      <c r="F109" s="26">
        <f t="shared" si="15"/>
        <v>3537.2340425531916</v>
      </c>
      <c r="G109" s="34">
        <f t="shared" si="16"/>
        <v>4244.6808510638293</v>
      </c>
      <c r="H109" s="37">
        <v>39900</v>
      </c>
      <c r="I109" s="36">
        <f t="shared" si="17"/>
        <v>47880</v>
      </c>
      <c r="J109" s="40">
        <v>61900</v>
      </c>
      <c r="K109" s="56">
        <f t="shared" si="18"/>
        <v>74280</v>
      </c>
      <c r="L109" s="30">
        <f t="shared" si="19"/>
        <v>0.35541195476575121</v>
      </c>
    </row>
    <row r="110" spans="1:13" ht="14.25" customHeight="1">
      <c r="A110" s="25" t="s">
        <v>260</v>
      </c>
      <c r="B110" s="23" t="s">
        <v>258</v>
      </c>
      <c r="C110" s="23" t="s">
        <v>261</v>
      </c>
      <c r="D110" s="31"/>
      <c r="E110" s="62">
        <v>11.5</v>
      </c>
      <c r="F110" s="26">
        <f t="shared" si="15"/>
        <v>4157.8014184397161</v>
      </c>
      <c r="G110" s="34">
        <f t="shared" si="16"/>
        <v>4989.3617021276596</v>
      </c>
      <c r="H110" s="37">
        <v>46900</v>
      </c>
      <c r="I110" s="36">
        <f t="shared" si="17"/>
        <v>56280</v>
      </c>
      <c r="J110" s="40">
        <v>72900</v>
      </c>
      <c r="K110" s="56">
        <f t="shared" si="18"/>
        <v>87480</v>
      </c>
      <c r="L110" s="30">
        <f t="shared" si="19"/>
        <v>0.35665294924554186</v>
      </c>
    </row>
    <row r="111" spans="1:13" ht="14.25" customHeight="1">
      <c r="A111" s="23" t="s">
        <v>262</v>
      </c>
      <c r="B111" s="23" t="s">
        <v>23</v>
      </c>
      <c r="C111" s="23" t="s">
        <v>57</v>
      </c>
      <c r="D111" s="31" t="s">
        <v>256</v>
      </c>
      <c r="E111" s="62">
        <v>24</v>
      </c>
      <c r="F111" s="26">
        <f t="shared" si="15"/>
        <v>14973.40425531915</v>
      </c>
      <c r="G111" s="34">
        <f t="shared" si="16"/>
        <v>17968.08510638298</v>
      </c>
      <c r="H111" s="37">
        <v>168900</v>
      </c>
      <c r="I111" s="36">
        <f t="shared" si="17"/>
        <v>202680</v>
      </c>
      <c r="J111" s="40">
        <v>262900</v>
      </c>
      <c r="K111" s="56">
        <f t="shared" si="18"/>
        <v>315480</v>
      </c>
      <c r="L111" s="30">
        <f t="shared" si="19"/>
        <v>0.35755039939140359</v>
      </c>
      <c r="M111" s="1" t="s">
        <v>19</v>
      </c>
    </row>
    <row r="112" spans="1:13" ht="14.25" customHeight="1">
      <c r="A112" s="23" t="s">
        <v>263</v>
      </c>
      <c r="B112" s="23" t="s">
        <v>23</v>
      </c>
      <c r="C112" s="23" t="s">
        <v>264</v>
      </c>
      <c r="D112" s="31" t="s">
        <v>265</v>
      </c>
      <c r="E112" s="62">
        <v>18.3</v>
      </c>
      <c r="F112" s="26">
        <f t="shared" si="15"/>
        <v>10895.390070921987</v>
      </c>
      <c r="G112" s="34">
        <f t="shared" si="16"/>
        <v>13074.468085106384</v>
      </c>
      <c r="H112" s="37">
        <v>122900</v>
      </c>
      <c r="I112" s="36">
        <f t="shared" si="17"/>
        <v>147480</v>
      </c>
      <c r="J112" s="40">
        <v>189900</v>
      </c>
      <c r="K112" s="56">
        <f t="shared" si="18"/>
        <v>227880</v>
      </c>
      <c r="L112" s="30">
        <f t="shared" si="19"/>
        <v>0.35281727224855186</v>
      </c>
    </row>
    <row r="113" spans="1:12" ht="14.25" customHeight="1">
      <c r="A113" s="23" t="s">
        <v>266</v>
      </c>
      <c r="B113" s="23" t="s">
        <v>23</v>
      </c>
      <c r="C113" s="23" t="s">
        <v>179</v>
      </c>
      <c r="D113" s="31" t="s">
        <v>256</v>
      </c>
      <c r="E113" s="62">
        <v>25.5</v>
      </c>
      <c r="F113" s="26">
        <f t="shared" si="15"/>
        <v>13200.354609929078</v>
      </c>
      <c r="G113" s="34">
        <f t="shared" si="16"/>
        <v>15840.425531914892</v>
      </c>
      <c r="H113" s="42">
        <v>148900</v>
      </c>
      <c r="I113" s="36">
        <f t="shared" si="17"/>
        <v>178680</v>
      </c>
      <c r="J113" s="40">
        <v>229900</v>
      </c>
      <c r="K113" s="56">
        <f t="shared" si="18"/>
        <v>275880</v>
      </c>
      <c r="L113" s="30">
        <f t="shared" si="19"/>
        <v>0.35232709873858198</v>
      </c>
    </row>
    <row r="114" spans="1:12" ht="14.25" customHeight="1">
      <c r="A114" s="18" t="s">
        <v>267</v>
      </c>
      <c r="B114" s="19"/>
      <c r="C114" s="19"/>
      <c r="D114" s="63"/>
      <c r="E114" s="19"/>
      <c r="F114" s="19"/>
      <c r="G114" s="19"/>
      <c r="H114" s="21"/>
      <c r="I114" s="21"/>
      <c r="J114" s="21"/>
      <c r="K114" s="21"/>
      <c r="L114" s="30"/>
    </row>
    <row r="115" spans="1:12" ht="14.25" customHeight="1">
      <c r="A115" s="64" t="s">
        <v>268</v>
      </c>
      <c r="B115" s="65" t="s">
        <v>23</v>
      </c>
      <c r="C115" s="66" t="s">
        <v>269</v>
      </c>
      <c r="D115" s="67" t="s">
        <v>270</v>
      </c>
      <c r="E115" s="64">
        <v>4</v>
      </c>
      <c r="F115" s="26">
        <f t="shared" si="15"/>
        <v>1586.8794326241136</v>
      </c>
      <c r="G115" s="34">
        <f t="shared" si="16"/>
        <v>1904.2553191489362</v>
      </c>
      <c r="H115" s="68">
        <v>17900</v>
      </c>
      <c r="I115" s="36">
        <f t="shared" si="17"/>
        <v>21480</v>
      </c>
      <c r="J115" s="69">
        <v>27900</v>
      </c>
      <c r="K115" s="56">
        <f t="shared" si="18"/>
        <v>33480</v>
      </c>
      <c r="L115" s="30">
        <f t="shared" si="19"/>
        <v>0.35842293906810035</v>
      </c>
    </row>
    <row r="116" spans="1:12" ht="14.25" customHeight="1">
      <c r="A116" s="70" t="s">
        <v>271</v>
      </c>
      <c r="B116" s="71" t="s">
        <v>186</v>
      </c>
      <c r="C116" s="23" t="s">
        <v>272</v>
      </c>
      <c r="D116" s="31" t="s">
        <v>273</v>
      </c>
      <c r="E116" s="33">
        <v>6.6</v>
      </c>
      <c r="F116" s="26">
        <f t="shared" si="15"/>
        <v>5044.3262411347523</v>
      </c>
      <c r="G116" s="34">
        <f t="shared" si="16"/>
        <v>6053.1914893617022</v>
      </c>
      <c r="H116" s="37">
        <v>56900</v>
      </c>
      <c r="I116" s="36">
        <f t="shared" si="17"/>
        <v>68280</v>
      </c>
      <c r="J116" s="58">
        <v>87900</v>
      </c>
      <c r="K116" s="56">
        <f t="shared" si="18"/>
        <v>105480</v>
      </c>
      <c r="L116" s="30">
        <f t="shared" si="19"/>
        <v>0.35267349260523323</v>
      </c>
    </row>
    <row r="117" spans="1:12" ht="14.25" customHeight="1">
      <c r="A117" s="70" t="s">
        <v>274</v>
      </c>
      <c r="B117" s="71" t="s">
        <v>186</v>
      </c>
      <c r="C117" s="23" t="s">
        <v>272</v>
      </c>
      <c r="D117" s="31" t="s">
        <v>273</v>
      </c>
      <c r="E117" s="33">
        <v>10.6</v>
      </c>
      <c r="F117" s="26">
        <f t="shared" si="15"/>
        <v>7083.3333333333339</v>
      </c>
      <c r="G117" s="34">
        <f t="shared" si="16"/>
        <v>8500</v>
      </c>
      <c r="H117" s="37">
        <v>79900</v>
      </c>
      <c r="I117" s="36">
        <f t="shared" si="17"/>
        <v>95880</v>
      </c>
      <c r="J117" s="58">
        <v>122900</v>
      </c>
      <c r="K117" s="56">
        <f t="shared" si="18"/>
        <v>147480</v>
      </c>
      <c r="L117" s="30">
        <f t="shared" si="19"/>
        <v>0.34987794955248169</v>
      </c>
    </row>
    <row r="118" spans="1:12" ht="14.25" customHeight="1">
      <c r="A118" s="72" t="s">
        <v>275</v>
      </c>
      <c r="B118" s="72" t="s">
        <v>120</v>
      </c>
      <c r="C118" s="72" t="s">
        <v>276</v>
      </c>
      <c r="D118" s="73" t="s">
        <v>277</v>
      </c>
      <c r="E118" s="74">
        <v>10.5</v>
      </c>
      <c r="F118" s="26">
        <f t="shared" si="15"/>
        <v>5753.5460992907801</v>
      </c>
      <c r="G118" s="34">
        <f t="shared" si="16"/>
        <v>6904.255319148936</v>
      </c>
      <c r="H118" s="52">
        <v>64900</v>
      </c>
      <c r="I118" s="75">
        <f t="shared" si="17"/>
        <v>77880</v>
      </c>
      <c r="J118" s="76">
        <v>99900</v>
      </c>
      <c r="K118" s="56">
        <f t="shared" si="18"/>
        <v>119880</v>
      </c>
      <c r="L118" s="30">
        <f t="shared" si="19"/>
        <v>0.35035035035035034</v>
      </c>
    </row>
    <row r="119" spans="1:12" ht="14.25" customHeight="1">
      <c r="A119" s="64" t="s">
        <v>278</v>
      </c>
      <c r="B119" s="64" t="s">
        <v>120</v>
      </c>
      <c r="C119" s="64" t="s">
        <v>279</v>
      </c>
      <c r="D119" s="77" t="s">
        <v>277</v>
      </c>
      <c r="E119" s="64">
        <v>13.8</v>
      </c>
      <c r="F119" s="26">
        <f t="shared" si="15"/>
        <v>8235.8156028368794</v>
      </c>
      <c r="G119" s="34">
        <f t="shared" si="16"/>
        <v>9882.9787234042542</v>
      </c>
      <c r="H119" s="68">
        <v>92900</v>
      </c>
      <c r="I119" s="68">
        <f t="shared" si="17"/>
        <v>111480</v>
      </c>
      <c r="J119" s="56">
        <v>142900</v>
      </c>
      <c r="K119" s="56">
        <f t="shared" si="18"/>
        <v>171480</v>
      </c>
      <c r="L119" s="30">
        <f t="shared" si="19"/>
        <v>0.34989503149055284</v>
      </c>
    </row>
    <row r="120" spans="1:12" ht="14.25" customHeight="1">
      <c r="A120" s="18" t="s">
        <v>280</v>
      </c>
      <c r="B120" s="19"/>
      <c r="C120" s="19"/>
      <c r="D120" s="63"/>
      <c r="E120" s="19"/>
      <c r="F120" s="19"/>
      <c r="G120" s="19"/>
      <c r="H120" s="21"/>
      <c r="I120" s="21"/>
      <c r="J120" s="21"/>
      <c r="K120" s="21"/>
      <c r="L120" s="30"/>
    </row>
    <row r="121" spans="1:12" ht="14.25" customHeight="1">
      <c r="A121" s="23" t="s">
        <v>281</v>
      </c>
      <c r="B121" s="23" t="s">
        <v>215</v>
      </c>
      <c r="C121" s="23" t="s">
        <v>282</v>
      </c>
      <c r="D121" s="31" t="s">
        <v>283</v>
      </c>
      <c r="E121" s="33">
        <v>9</v>
      </c>
      <c r="F121" s="26">
        <f t="shared" si="15"/>
        <v>3448.5815602836883</v>
      </c>
      <c r="G121" s="34">
        <f t="shared" si="16"/>
        <v>4138.2978723404258</v>
      </c>
      <c r="H121" s="35">
        <v>38900</v>
      </c>
      <c r="I121" s="36">
        <f t="shared" si="17"/>
        <v>46680</v>
      </c>
      <c r="J121" s="40">
        <v>59900</v>
      </c>
      <c r="K121" s="56">
        <f t="shared" si="18"/>
        <v>71880</v>
      </c>
      <c r="L121" s="30">
        <f t="shared" si="19"/>
        <v>0.35058430717863104</v>
      </c>
    </row>
    <row r="122" spans="1:12" ht="14.25" customHeight="1">
      <c r="A122" s="23" t="s">
        <v>284</v>
      </c>
      <c r="B122" s="23" t="s">
        <v>215</v>
      </c>
      <c r="C122" s="23" t="s">
        <v>282</v>
      </c>
      <c r="D122" s="31" t="s">
        <v>283</v>
      </c>
      <c r="E122" s="33">
        <v>9</v>
      </c>
      <c r="F122" s="26">
        <f t="shared" si="15"/>
        <v>4867.0212765957449</v>
      </c>
      <c r="G122" s="34">
        <f t="shared" si="16"/>
        <v>5840.4255319148933</v>
      </c>
      <c r="H122" s="37">
        <v>54900</v>
      </c>
      <c r="I122" s="36">
        <f t="shared" si="17"/>
        <v>65880</v>
      </c>
      <c r="J122" s="40">
        <v>84900</v>
      </c>
      <c r="K122" s="56">
        <f t="shared" si="18"/>
        <v>101880</v>
      </c>
      <c r="L122" s="30">
        <f t="shared" si="19"/>
        <v>0.35335689045936397</v>
      </c>
    </row>
    <row r="123" spans="1:12" ht="14.25" customHeight="1">
      <c r="A123" s="72" t="s">
        <v>285</v>
      </c>
      <c r="B123" s="23" t="s">
        <v>215</v>
      </c>
      <c r="C123" s="23" t="s">
        <v>282</v>
      </c>
      <c r="D123" s="31" t="s">
        <v>286</v>
      </c>
      <c r="E123" s="33">
        <v>12.5</v>
      </c>
      <c r="F123" s="26">
        <f t="shared" si="15"/>
        <v>5930.8510638297876</v>
      </c>
      <c r="G123" s="34">
        <f t="shared" si="16"/>
        <v>7117.0212765957449</v>
      </c>
      <c r="H123" s="42">
        <v>66900</v>
      </c>
      <c r="I123" s="36">
        <f t="shared" si="17"/>
        <v>80280</v>
      </c>
      <c r="J123" s="58">
        <v>102900</v>
      </c>
      <c r="K123" s="56">
        <f t="shared" si="18"/>
        <v>123480</v>
      </c>
      <c r="L123" s="30">
        <f t="shared" si="19"/>
        <v>0.3498542274052478</v>
      </c>
    </row>
    <row r="124" spans="1:12" ht="14.25" customHeight="1">
      <c r="A124" s="78" t="s">
        <v>287</v>
      </c>
      <c r="B124" s="19"/>
      <c r="C124" s="19"/>
      <c r="D124" s="63"/>
      <c r="E124" s="19"/>
      <c r="F124" s="19"/>
      <c r="G124" s="19"/>
      <c r="H124" s="21"/>
      <c r="I124" s="21"/>
      <c r="J124" s="21"/>
      <c r="K124" s="21"/>
      <c r="L124" s="30"/>
    </row>
    <row r="125" spans="1:12" ht="14.25" customHeight="1">
      <c r="A125" s="23" t="s">
        <v>288</v>
      </c>
      <c r="B125" s="23" t="s">
        <v>289</v>
      </c>
      <c r="C125" s="23" t="s">
        <v>290</v>
      </c>
      <c r="D125" s="31" t="s">
        <v>291</v>
      </c>
      <c r="E125" s="33">
        <v>4</v>
      </c>
      <c r="F125" s="26">
        <f t="shared" si="15"/>
        <v>1320.921985815603</v>
      </c>
      <c r="G125" s="34">
        <f t="shared" si="16"/>
        <v>1585.1063829787236</v>
      </c>
      <c r="H125" s="35">
        <v>14900</v>
      </c>
      <c r="I125" s="36">
        <f t="shared" si="17"/>
        <v>17880</v>
      </c>
      <c r="J125" s="40">
        <v>23900</v>
      </c>
      <c r="K125" s="56">
        <f t="shared" si="18"/>
        <v>28680</v>
      </c>
      <c r="L125" s="30">
        <f t="shared" si="19"/>
        <v>0.37656903765690375</v>
      </c>
    </row>
    <row r="126" spans="1:12" ht="14.25" customHeight="1">
      <c r="A126" s="23" t="s">
        <v>292</v>
      </c>
      <c r="B126" s="23" t="s">
        <v>289</v>
      </c>
      <c r="C126" s="23" t="s">
        <v>290</v>
      </c>
      <c r="D126" s="31" t="s">
        <v>293</v>
      </c>
      <c r="E126" s="33">
        <v>8</v>
      </c>
      <c r="F126" s="26">
        <f t="shared" si="15"/>
        <v>1764.1843971631206</v>
      </c>
      <c r="G126" s="34">
        <f t="shared" si="16"/>
        <v>2117.0212765957444</v>
      </c>
      <c r="H126" s="37">
        <v>19900</v>
      </c>
      <c r="I126" s="36">
        <f t="shared" si="17"/>
        <v>23880</v>
      </c>
      <c r="J126" s="40">
        <v>31900</v>
      </c>
      <c r="K126" s="56">
        <f t="shared" si="18"/>
        <v>38280</v>
      </c>
      <c r="L126" s="30">
        <f t="shared" si="19"/>
        <v>0.37617554858934171</v>
      </c>
    </row>
    <row r="127" spans="1:12" ht="14.25" customHeight="1">
      <c r="A127" s="23" t="s">
        <v>294</v>
      </c>
      <c r="B127" s="23" t="s">
        <v>295</v>
      </c>
      <c r="C127" s="23" t="s">
        <v>296</v>
      </c>
      <c r="D127" s="31" t="s">
        <v>297</v>
      </c>
      <c r="E127" s="33">
        <v>4</v>
      </c>
      <c r="F127" s="26">
        <f t="shared" si="15"/>
        <v>2916.666666666667</v>
      </c>
      <c r="G127" s="34">
        <f t="shared" si="16"/>
        <v>3500.0000000000005</v>
      </c>
      <c r="H127" s="37">
        <v>32900</v>
      </c>
      <c r="I127" s="36">
        <f t="shared" si="17"/>
        <v>39480</v>
      </c>
      <c r="J127" s="40">
        <v>51900</v>
      </c>
      <c r="K127" s="56">
        <f t="shared" si="18"/>
        <v>62280</v>
      </c>
      <c r="L127" s="30">
        <f t="shared" si="19"/>
        <v>0.36608863198458574</v>
      </c>
    </row>
    <row r="128" spans="1:12" ht="14.25" customHeight="1">
      <c r="A128" s="23" t="s">
        <v>298</v>
      </c>
      <c r="B128" s="23" t="s">
        <v>23</v>
      </c>
      <c r="C128" s="23" t="s">
        <v>296</v>
      </c>
      <c r="D128" s="31" t="s">
        <v>299</v>
      </c>
      <c r="E128" s="33">
        <v>4</v>
      </c>
      <c r="F128" s="26">
        <f t="shared" si="15"/>
        <v>3182.6241134751776</v>
      </c>
      <c r="G128" s="34">
        <f t="shared" si="16"/>
        <v>3819.1489361702129</v>
      </c>
      <c r="H128" s="37">
        <v>35900</v>
      </c>
      <c r="I128" s="36">
        <f t="shared" si="17"/>
        <v>43080</v>
      </c>
      <c r="J128" s="40">
        <v>55900</v>
      </c>
      <c r="K128" s="56">
        <f t="shared" si="18"/>
        <v>67080</v>
      </c>
      <c r="L128" s="30">
        <f t="shared" si="19"/>
        <v>0.35778175313059035</v>
      </c>
    </row>
    <row r="129" spans="1:13" ht="14.25" customHeight="1">
      <c r="A129" s="23" t="s">
        <v>300</v>
      </c>
      <c r="B129" s="23" t="s">
        <v>215</v>
      </c>
      <c r="C129" s="23" t="s">
        <v>290</v>
      </c>
      <c r="D129" s="31" t="s">
        <v>301</v>
      </c>
      <c r="E129" s="33">
        <v>6.5</v>
      </c>
      <c r="F129" s="26">
        <f t="shared" si="15"/>
        <v>3803.1914893617022</v>
      </c>
      <c r="G129" s="34">
        <f t="shared" si="16"/>
        <v>4563.8297872340427</v>
      </c>
      <c r="H129" s="37">
        <v>42900</v>
      </c>
      <c r="I129" s="36">
        <f t="shared" si="17"/>
        <v>51480</v>
      </c>
      <c r="J129" s="40">
        <v>66900</v>
      </c>
      <c r="K129" s="56">
        <f t="shared" si="18"/>
        <v>80280</v>
      </c>
      <c r="L129" s="30">
        <f t="shared" si="19"/>
        <v>0.35874439461883406</v>
      </c>
    </row>
    <row r="130" spans="1:13" ht="14.25" customHeight="1">
      <c r="A130" s="23" t="s">
        <v>302</v>
      </c>
      <c r="B130" s="23" t="s">
        <v>23</v>
      </c>
      <c r="C130" s="23" t="s">
        <v>290</v>
      </c>
      <c r="D130" s="31" t="s">
        <v>303</v>
      </c>
      <c r="E130" s="33">
        <v>6</v>
      </c>
      <c r="F130" s="26">
        <f t="shared" si="15"/>
        <v>4423.7588652482273</v>
      </c>
      <c r="G130" s="34">
        <f t="shared" si="16"/>
        <v>5308.5106382978729</v>
      </c>
      <c r="H130" s="42">
        <v>49900</v>
      </c>
      <c r="I130" s="36">
        <f t="shared" si="17"/>
        <v>59880</v>
      </c>
      <c r="J130" s="40">
        <v>76900</v>
      </c>
      <c r="K130" s="56">
        <f t="shared" si="18"/>
        <v>92280</v>
      </c>
      <c r="L130" s="30">
        <f t="shared" si="19"/>
        <v>0.35110533159947982</v>
      </c>
    </row>
    <row r="131" spans="1:13" ht="14.25" customHeight="1">
      <c r="A131" s="79" t="s">
        <v>304</v>
      </c>
      <c r="L131" s="30"/>
    </row>
    <row r="132" spans="1:13" ht="14.25" customHeight="1">
      <c r="A132" s="23" t="s">
        <v>305</v>
      </c>
      <c r="B132" s="23" t="s">
        <v>223</v>
      </c>
      <c r="C132" s="23"/>
      <c r="D132" s="31" t="s">
        <v>306</v>
      </c>
      <c r="E132" s="33">
        <v>2.7</v>
      </c>
      <c r="F132" s="26">
        <f t="shared" si="15"/>
        <v>3537.2340425531916</v>
      </c>
      <c r="G132" s="34">
        <f t="shared" si="16"/>
        <v>4244.6808510638293</v>
      </c>
      <c r="H132" s="35">
        <v>39900</v>
      </c>
      <c r="I132" s="36">
        <f t="shared" si="17"/>
        <v>47880</v>
      </c>
      <c r="J132" s="40">
        <v>61900</v>
      </c>
      <c r="K132" s="56">
        <f t="shared" si="18"/>
        <v>74280</v>
      </c>
      <c r="L132" s="30">
        <f t="shared" si="19"/>
        <v>0.35541195476575121</v>
      </c>
    </row>
    <row r="133" spans="1:13" ht="14.25" customHeight="1">
      <c r="A133" s="23" t="s">
        <v>307</v>
      </c>
      <c r="B133" s="23" t="s">
        <v>23</v>
      </c>
      <c r="C133" s="23"/>
      <c r="D133" s="31" t="s">
        <v>308</v>
      </c>
      <c r="E133" s="33">
        <v>2.7</v>
      </c>
      <c r="F133" s="26">
        <f t="shared" si="15"/>
        <v>4069.1489361702129</v>
      </c>
      <c r="G133" s="34">
        <f t="shared" si="16"/>
        <v>4882.9787234042551</v>
      </c>
      <c r="H133" s="37">
        <v>45900</v>
      </c>
      <c r="I133" s="36">
        <f t="shared" si="17"/>
        <v>55080</v>
      </c>
      <c r="J133" s="40">
        <v>70900</v>
      </c>
      <c r="K133" s="56">
        <f t="shared" si="18"/>
        <v>85080</v>
      </c>
      <c r="L133" s="30">
        <f t="shared" si="19"/>
        <v>0.35260930888575459</v>
      </c>
    </row>
    <row r="134" spans="1:13" ht="14.25" customHeight="1">
      <c r="A134" s="23" t="s">
        <v>309</v>
      </c>
      <c r="B134" s="23" t="s">
        <v>310</v>
      </c>
      <c r="C134" s="23"/>
      <c r="D134" s="31" t="s">
        <v>311</v>
      </c>
      <c r="E134" s="33">
        <v>9.5</v>
      </c>
      <c r="F134" s="26">
        <f t="shared" si="15"/>
        <v>4867.0212765957449</v>
      </c>
      <c r="G134" s="34">
        <f t="shared" si="16"/>
        <v>5840.4255319148933</v>
      </c>
      <c r="H134" s="42">
        <v>54900</v>
      </c>
      <c r="I134" s="36">
        <f t="shared" si="17"/>
        <v>65880</v>
      </c>
      <c r="J134" s="58">
        <v>84900</v>
      </c>
      <c r="K134" s="56">
        <f t="shared" si="18"/>
        <v>101880</v>
      </c>
      <c r="L134" s="30">
        <f t="shared" si="19"/>
        <v>0.35335689045936397</v>
      </c>
    </row>
    <row r="135" spans="1:13" ht="14.25" customHeight="1">
      <c r="A135" s="18" t="s">
        <v>312</v>
      </c>
      <c r="B135" s="19"/>
      <c r="C135" s="19"/>
      <c r="D135" s="63"/>
      <c r="E135" s="19"/>
      <c r="F135" s="19"/>
      <c r="G135" s="19"/>
      <c r="H135" s="21"/>
      <c r="I135" s="21"/>
      <c r="J135" s="21"/>
      <c r="K135" s="21"/>
      <c r="L135" s="30"/>
    </row>
    <row r="136" spans="1:13" ht="14.25" customHeight="1">
      <c r="A136" s="25" t="s">
        <v>313</v>
      </c>
      <c r="B136" s="23" t="s">
        <v>258</v>
      </c>
      <c r="C136" s="25" t="s">
        <v>314</v>
      </c>
      <c r="D136" s="31" t="s">
        <v>315</v>
      </c>
      <c r="E136" s="62">
        <v>3</v>
      </c>
      <c r="F136" s="26">
        <f t="shared" si="15"/>
        <v>5221.6312056737588</v>
      </c>
      <c r="G136" s="34">
        <f t="shared" si="16"/>
        <v>6265.9574468085102</v>
      </c>
      <c r="H136" s="35">
        <v>58900</v>
      </c>
      <c r="I136" s="36">
        <f t="shared" si="17"/>
        <v>70680</v>
      </c>
      <c r="J136" s="40">
        <v>90900</v>
      </c>
      <c r="K136" s="56">
        <f t="shared" si="18"/>
        <v>109080</v>
      </c>
      <c r="L136" s="30">
        <f t="shared" si="19"/>
        <v>0.35203520352035206</v>
      </c>
      <c r="M136" s="1" t="s">
        <v>19</v>
      </c>
    </row>
    <row r="137" spans="1:13" ht="14.25" customHeight="1">
      <c r="A137" s="23" t="s">
        <v>316</v>
      </c>
      <c r="B137" s="23" t="s">
        <v>258</v>
      </c>
      <c r="C137" s="23" t="s">
        <v>317</v>
      </c>
      <c r="D137" s="39" t="s">
        <v>318</v>
      </c>
      <c r="E137" s="62">
        <v>24.6</v>
      </c>
      <c r="F137" s="26">
        <f t="shared" si="15"/>
        <v>12136.524822695035</v>
      </c>
      <c r="G137" s="34">
        <f t="shared" si="16"/>
        <v>14563.829787234043</v>
      </c>
      <c r="H137" s="37">
        <v>136900</v>
      </c>
      <c r="I137" s="36">
        <f t="shared" si="17"/>
        <v>164280</v>
      </c>
      <c r="J137" s="40">
        <v>212900</v>
      </c>
      <c r="K137" s="56">
        <f t="shared" si="18"/>
        <v>255480</v>
      </c>
      <c r="L137" s="30">
        <f t="shared" si="19"/>
        <v>0.35697510568341945</v>
      </c>
    </row>
    <row r="138" spans="1:13" ht="14.25" customHeight="1">
      <c r="A138" s="80" t="s">
        <v>319</v>
      </c>
      <c r="B138" s="23" t="s">
        <v>23</v>
      </c>
      <c r="C138" s="23" t="s">
        <v>282</v>
      </c>
      <c r="D138" s="39" t="s">
        <v>320</v>
      </c>
      <c r="E138" s="62">
        <v>5.9</v>
      </c>
      <c r="F138" s="26">
        <f t="shared" si="15"/>
        <v>8856.3829787234044</v>
      </c>
      <c r="G138" s="34">
        <f t="shared" si="16"/>
        <v>10627.659574468085</v>
      </c>
      <c r="H138" s="37">
        <v>99900</v>
      </c>
      <c r="I138" s="36">
        <f t="shared" si="17"/>
        <v>119880</v>
      </c>
      <c r="J138" s="40">
        <v>153900</v>
      </c>
      <c r="K138" s="56">
        <f t="shared" si="18"/>
        <v>184680</v>
      </c>
      <c r="L138" s="30">
        <f t="shared" si="19"/>
        <v>0.35087719298245612</v>
      </c>
    </row>
    <row r="139" spans="1:13" ht="14.25" customHeight="1">
      <c r="A139" s="80" t="s">
        <v>321</v>
      </c>
      <c r="B139" s="23" t="s">
        <v>23</v>
      </c>
      <c r="C139" s="23" t="s">
        <v>282</v>
      </c>
      <c r="D139" s="39" t="s">
        <v>320</v>
      </c>
      <c r="E139" s="62">
        <v>18</v>
      </c>
      <c r="F139" s="26">
        <f t="shared" si="15"/>
        <v>12845.744680851065</v>
      </c>
      <c r="G139" s="34">
        <f t="shared" si="16"/>
        <v>15414.893617021276</v>
      </c>
      <c r="H139" s="37">
        <v>144900</v>
      </c>
      <c r="I139" s="36">
        <f t="shared" si="17"/>
        <v>173880</v>
      </c>
      <c r="J139" s="40">
        <v>222900</v>
      </c>
      <c r="K139" s="56">
        <f t="shared" si="18"/>
        <v>267480</v>
      </c>
      <c r="L139" s="30">
        <f t="shared" si="19"/>
        <v>0.34993270524899056</v>
      </c>
    </row>
    <row r="140" spans="1:13" ht="14.25" customHeight="1">
      <c r="A140" s="80" t="s">
        <v>322</v>
      </c>
      <c r="B140" s="23" t="s">
        <v>23</v>
      </c>
      <c r="C140" s="25" t="s">
        <v>220</v>
      </c>
      <c r="D140" s="39" t="s">
        <v>323</v>
      </c>
      <c r="E140" s="33">
        <v>14</v>
      </c>
      <c r="F140" s="26">
        <f t="shared" si="15"/>
        <v>7969.8581560283692</v>
      </c>
      <c r="G140" s="34">
        <f t="shared" si="16"/>
        <v>9563.8297872340427</v>
      </c>
      <c r="H140" s="37">
        <v>89900</v>
      </c>
      <c r="I140" s="36">
        <f t="shared" si="17"/>
        <v>107880</v>
      </c>
      <c r="J140" s="40">
        <v>139900</v>
      </c>
      <c r="K140" s="56">
        <f t="shared" si="18"/>
        <v>167880</v>
      </c>
      <c r="L140" s="30">
        <f t="shared" si="19"/>
        <v>0.35739814152966404</v>
      </c>
    </row>
    <row r="141" spans="1:13" ht="14.25" customHeight="1">
      <c r="A141" s="80" t="s">
        <v>324</v>
      </c>
      <c r="B141" s="23" t="s">
        <v>23</v>
      </c>
      <c r="C141" s="25"/>
      <c r="D141" s="39" t="s">
        <v>325</v>
      </c>
      <c r="E141" s="33">
        <v>7</v>
      </c>
      <c r="F141" s="26">
        <f t="shared" si="15"/>
        <v>5753.5460992907801</v>
      </c>
      <c r="G141" s="34">
        <f t="shared" si="16"/>
        <v>6904.255319148936</v>
      </c>
      <c r="H141" s="37">
        <v>64900</v>
      </c>
      <c r="I141" s="36">
        <f t="shared" si="17"/>
        <v>77880</v>
      </c>
      <c r="J141" s="40">
        <v>99900</v>
      </c>
      <c r="K141" s="56">
        <f t="shared" si="18"/>
        <v>119880</v>
      </c>
      <c r="L141" s="30">
        <f t="shared" si="19"/>
        <v>0.35035035035035034</v>
      </c>
    </row>
    <row r="142" spans="1:13" ht="14.25" customHeight="1">
      <c r="A142" s="80" t="s">
        <v>326</v>
      </c>
      <c r="B142" s="23" t="s">
        <v>23</v>
      </c>
      <c r="C142" s="23" t="s">
        <v>327</v>
      </c>
      <c r="D142" s="31" t="s">
        <v>328</v>
      </c>
      <c r="E142" s="33">
        <v>6</v>
      </c>
      <c r="F142" s="26">
        <f t="shared" si="15"/>
        <v>3803.1914893617022</v>
      </c>
      <c r="G142" s="34">
        <f t="shared" si="16"/>
        <v>4563.8297872340427</v>
      </c>
      <c r="H142" s="42">
        <v>42900</v>
      </c>
      <c r="I142" s="36">
        <f t="shared" si="17"/>
        <v>51480</v>
      </c>
      <c r="J142" s="40">
        <v>66900</v>
      </c>
      <c r="K142" s="56">
        <f t="shared" si="18"/>
        <v>80280</v>
      </c>
      <c r="L142" s="30">
        <f t="shared" si="19"/>
        <v>0.35874439461883406</v>
      </c>
    </row>
    <row r="143" spans="1:13" ht="14.25" customHeight="1">
      <c r="A143" s="137" t="s">
        <v>330</v>
      </c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</row>
    <row r="144" spans="1:13" ht="14.25" customHeight="1">
      <c r="A144" s="18" t="s">
        <v>331</v>
      </c>
      <c r="B144" s="19"/>
      <c r="C144" s="19"/>
      <c r="D144" s="19"/>
      <c r="E144" s="19"/>
      <c r="F144" s="19"/>
      <c r="G144" s="19"/>
      <c r="H144" s="21"/>
      <c r="I144" s="21"/>
      <c r="J144" s="21"/>
      <c r="K144" s="21"/>
    </row>
    <row r="145" spans="1:13" ht="14.25" customHeight="1">
      <c r="A145" s="25" t="s">
        <v>332</v>
      </c>
      <c r="B145" s="25" t="s">
        <v>333</v>
      </c>
      <c r="C145" s="25" t="s">
        <v>334</v>
      </c>
      <c r="D145" s="32" t="s">
        <v>335</v>
      </c>
      <c r="E145" s="86">
        <v>9.9</v>
      </c>
      <c r="F145" s="26">
        <f t="shared" si="15"/>
        <v>13643.617021276597</v>
      </c>
      <c r="G145" s="34">
        <f t="shared" si="16"/>
        <v>16372.340425531916</v>
      </c>
      <c r="H145" s="35">
        <v>153900</v>
      </c>
      <c r="I145" s="87">
        <f t="shared" si="17"/>
        <v>184680</v>
      </c>
      <c r="J145" s="88">
        <v>237900</v>
      </c>
      <c r="K145" s="56">
        <f t="shared" si="18"/>
        <v>285480</v>
      </c>
      <c r="L145" s="30">
        <f t="shared" si="19"/>
        <v>0.35308953341740229</v>
      </c>
    </row>
    <row r="146" spans="1:13" ht="14.25" customHeight="1">
      <c r="A146" s="25" t="s">
        <v>336</v>
      </c>
      <c r="B146" s="25" t="s">
        <v>333</v>
      </c>
      <c r="C146" s="25" t="s">
        <v>337</v>
      </c>
      <c r="D146" s="32" t="s">
        <v>338</v>
      </c>
      <c r="E146" s="86">
        <v>11.5</v>
      </c>
      <c r="F146" s="26">
        <f t="shared" si="15"/>
        <v>15771.276595744681</v>
      </c>
      <c r="G146" s="34">
        <f t="shared" si="16"/>
        <v>18925.531914893618</v>
      </c>
      <c r="H146" s="37">
        <v>177900</v>
      </c>
      <c r="I146" s="87">
        <f t="shared" si="17"/>
        <v>213480</v>
      </c>
      <c r="J146" s="89">
        <v>274900</v>
      </c>
      <c r="K146" s="56">
        <f t="shared" si="18"/>
        <v>329880</v>
      </c>
      <c r="L146" s="30">
        <f t="shared" si="19"/>
        <v>0.35285558384867227</v>
      </c>
    </row>
    <row r="147" spans="1:13" ht="14.25" customHeight="1">
      <c r="A147" s="25" t="s">
        <v>339</v>
      </c>
      <c r="B147" s="25" t="s">
        <v>333</v>
      </c>
      <c r="C147" s="25" t="s">
        <v>340</v>
      </c>
      <c r="D147" s="32" t="s">
        <v>341</v>
      </c>
      <c r="E147" s="86">
        <v>10</v>
      </c>
      <c r="F147" s="26">
        <f t="shared" si="15"/>
        <v>18785.460992907803</v>
      </c>
      <c r="G147" s="34">
        <f t="shared" si="16"/>
        <v>22542.553191489362</v>
      </c>
      <c r="H147" s="37">
        <v>211900</v>
      </c>
      <c r="I147" s="87">
        <f t="shared" si="17"/>
        <v>254280</v>
      </c>
      <c r="J147" s="89">
        <v>325900</v>
      </c>
      <c r="K147" s="56">
        <f t="shared" si="18"/>
        <v>391080</v>
      </c>
      <c r="L147" s="30">
        <f t="shared" si="19"/>
        <v>0.34980055231666157</v>
      </c>
      <c r="M147" s="1" t="s">
        <v>19</v>
      </c>
    </row>
    <row r="148" spans="1:13" ht="14.25" customHeight="1">
      <c r="A148" s="25" t="s">
        <v>342</v>
      </c>
      <c r="B148" s="25" t="s">
        <v>343</v>
      </c>
      <c r="C148" s="25" t="s">
        <v>337</v>
      </c>
      <c r="D148" s="32" t="s">
        <v>344</v>
      </c>
      <c r="E148" s="86">
        <v>17.399999999999999</v>
      </c>
      <c r="F148" s="26">
        <f t="shared" si="15"/>
        <v>25079.787234042553</v>
      </c>
      <c r="G148" s="34">
        <f t="shared" si="16"/>
        <v>30095.744680851061</v>
      </c>
      <c r="H148" s="37">
        <v>282900</v>
      </c>
      <c r="I148" s="87">
        <f t="shared" si="17"/>
        <v>339480</v>
      </c>
      <c r="J148" s="89">
        <v>435900</v>
      </c>
      <c r="K148" s="56">
        <f t="shared" si="18"/>
        <v>523080</v>
      </c>
      <c r="L148" s="30">
        <f t="shared" si="19"/>
        <v>0.35099793530626289</v>
      </c>
    </row>
    <row r="149" spans="1:13" ht="14.25" customHeight="1">
      <c r="A149" s="25" t="s">
        <v>345</v>
      </c>
      <c r="B149" s="25" t="s">
        <v>343</v>
      </c>
      <c r="C149" s="25" t="s">
        <v>346</v>
      </c>
      <c r="D149" s="32" t="s">
        <v>347</v>
      </c>
      <c r="E149" s="86">
        <v>28.8</v>
      </c>
      <c r="F149" s="26">
        <f t="shared" si="15"/>
        <v>46533.687943262412</v>
      </c>
      <c r="G149" s="34">
        <f t="shared" si="16"/>
        <v>55840.425531914894</v>
      </c>
      <c r="H149" s="37">
        <v>524900</v>
      </c>
      <c r="I149" s="87">
        <f t="shared" si="17"/>
        <v>629880</v>
      </c>
      <c r="J149" s="89">
        <v>807900</v>
      </c>
      <c r="K149" s="56">
        <f t="shared" si="18"/>
        <v>969480</v>
      </c>
      <c r="L149" s="30">
        <f t="shared" si="19"/>
        <v>0.35029087758385941</v>
      </c>
    </row>
    <row r="150" spans="1:13" ht="14.25" customHeight="1">
      <c r="A150" s="25" t="s">
        <v>345</v>
      </c>
      <c r="B150" s="25" t="s">
        <v>343</v>
      </c>
      <c r="C150" s="25" t="s">
        <v>348</v>
      </c>
      <c r="D150" s="32" t="s">
        <v>347</v>
      </c>
      <c r="E150" s="86">
        <v>32.6</v>
      </c>
      <c r="F150" s="26">
        <f t="shared" si="15"/>
        <v>49636.524822695035</v>
      </c>
      <c r="G150" s="34">
        <f t="shared" si="16"/>
        <v>59563.829787234041</v>
      </c>
      <c r="H150" s="42">
        <v>559900</v>
      </c>
      <c r="I150" s="87">
        <f t="shared" si="17"/>
        <v>671880</v>
      </c>
      <c r="J150" s="90">
        <v>861900</v>
      </c>
      <c r="K150" s="56">
        <f t="shared" si="18"/>
        <v>1034280</v>
      </c>
      <c r="L150" s="30">
        <f t="shared" si="19"/>
        <v>0.35038867618053138</v>
      </c>
    </row>
    <row r="151" spans="1:13" ht="14.25" hidden="1" customHeight="1">
      <c r="A151" s="25" t="s">
        <v>345</v>
      </c>
      <c r="B151" s="25"/>
      <c r="C151" s="25"/>
      <c r="D151" s="25" t="s">
        <v>349</v>
      </c>
      <c r="E151" s="91"/>
      <c r="F151" s="92"/>
      <c r="G151" s="92"/>
      <c r="H151" s="93"/>
      <c r="I151" s="28"/>
      <c r="J151" s="94"/>
      <c r="K151" s="40"/>
      <c r="L151" s="30" t="e">
        <f t="shared" si="19"/>
        <v>#DIV/0!</v>
      </c>
    </row>
    <row r="152" spans="1:13" ht="14.25" customHeight="1">
      <c r="A152" s="18" t="s">
        <v>350</v>
      </c>
      <c r="B152" s="19"/>
      <c r="C152" s="19"/>
      <c r="D152" s="19"/>
      <c r="E152" s="19"/>
      <c r="F152" s="19"/>
      <c r="G152" s="19"/>
      <c r="H152" s="21"/>
      <c r="I152" s="21"/>
      <c r="J152" s="21"/>
      <c r="K152" s="21"/>
      <c r="L152" s="30"/>
    </row>
    <row r="153" spans="1:13" ht="14.25" customHeight="1">
      <c r="A153" s="25" t="s">
        <v>351</v>
      </c>
      <c r="B153" s="25" t="s">
        <v>215</v>
      </c>
      <c r="C153" s="25" t="s">
        <v>352</v>
      </c>
      <c r="D153" s="32"/>
      <c r="E153" s="33">
        <v>3.5</v>
      </c>
      <c r="F153" s="26">
        <f t="shared" si="15"/>
        <v>4778.3687943262412</v>
      </c>
      <c r="G153" s="34">
        <f t="shared" si="16"/>
        <v>5734.0425531914889</v>
      </c>
      <c r="H153" s="35">
        <v>53900</v>
      </c>
      <c r="I153" s="87">
        <f t="shared" si="17"/>
        <v>64680</v>
      </c>
      <c r="J153" s="88">
        <v>82900</v>
      </c>
      <c r="K153" s="56">
        <f t="shared" si="18"/>
        <v>99480</v>
      </c>
      <c r="L153" s="30">
        <f t="shared" si="19"/>
        <v>0.34981905910735828</v>
      </c>
    </row>
    <row r="154" spans="1:13" ht="14.25" hidden="1" customHeight="1">
      <c r="A154" s="25"/>
      <c r="B154" s="25"/>
      <c r="C154" s="25"/>
      <c r="D154" s="95"/>
      <c r="E154" s="33"/>
      <c r="F154" s="26">
        <f t="shared" ref="F154:F214" si="20">H154/$F$2</f>
        <v>0</v>
      </c>
      <c r="G154" s="34">
        <f t="shared" si="16"/>
        <v>0</v>
      </c>
      <c r="H154" s="37"/>
      <c r="I154" s="87">
        <f t="shared" si="17"/>
        <v>0</v>
      </c>
      <c r="J154" s="89"/>
      <c r="K154" s="56">
        <f t="shared" si="18"/>
        <v>0</v>
      </c>
      <c r="L154" s="30" t="e">
        <f t="shared" si="19"/>
        <v>#DIV/0!</v>
      </c>
    </row>
    <row r="155" spans="1:13" ht="14.25" customHeight="1">
      <c r="A155" s="25" t="s">
        <v>353</v>
      </c>
      <c r="B155" s="25" t="s">
        <v>215</v>
      </c>
      <c r="C155" s="25" t="s">
        <v>354</v>
      </c>
      <c r="D155" s="32" t="s">
        <v>355</v>
      </c>
      <c r="E155" s="33">
        <v>9.3000000000000007</v>
      </c>
      <c r="F155" s="26">
        <f t="shared" si="20"/>
        <v>4867.0212765957449</v>
      </c>
      <c r="G155" s="34">
        <f t="shared" si="16"/>
        <v>5840.4255319148933</v>
      </c>
      <c r="H155" s="37">
        <v>54900</v>
      </c>
      <c r="I155" s="87">
        <f t="shared" si="17"/>
        <v>65880</v>
      </c>
      <c r="J155" s="89">
        <v>84900</v>
      </c>
      <c r="K155" s="56">
        <f t="shared" si="18"/>
        <v>101880</v>
      </c>
      <c r="L155" s="30">
        <f t="shared" si="19"/>
        <v>0.35335689045936397</v>
      </c>
    </row>
    <row r="156" spans="1:13" ht="14.25" customHeight="1">
      <c r="A156" s="25" t="s">
        <v>356</v>
      </c>
      <c r="B156" s="25" t="s">
        <v>223</v>
      </c>
      <c r="C156" s="25" t="s">
        <v>357</v>
      </c>
      <c r="D156" s="32" t="s">
        <v>358</v>
      </c>
      <c r="E156" s="33">
        <v>8.6999999999999993</v>
      </c>
      <c r="F156" s="26">
        <f t="shared" si="20"/>
        <v>4867.0212765957449</v>
      </c>
      <c r="G156" s="34">
        <f t="shared" ref="G156:G216" si="21">F156*1.2</f>
        <v>5840.4255319148933</v>
      </c>
      <c r="H156" s="37">
        <v>54900</v>
      </c>
      <c r="I156" s="87">
        <f t="shared" ref="I156:I216" si="22">H156*1.2</f>
        <v>65880</v>
      </c>
      <c r="J156" s="89">
        <v>84900</v>
      </c>
      <c r="K156" s="56">
        <f t="shared" ref="K156:K216" si="23">J156*1.2</f>
        <v>101880</v>
      </c>
      <c r="L156" s="30">
        <f t="shared" ref="L156:L216" si="24">(J156-H156)/J156</f>
        <v>0.35335689045936397</v>
      </c>
    </row>
    <row r="157" spans="1:13" ht="14.25" customHeight="1">
      <c r="A157" s="25" t="s">
        <v>359</v>
      </c>
      <c r="B157" s="25" t="s">
        <v>223</v>
      </c>
      <c r="C157" s="25" t="s">
        <v>224</v>
      </c>
      <c r="D157" s="32" t="s">
        <v>360</v>
      </c>
      <c r="E157" s="33">
        <v>13.6</v>
      </c>
      <c r="F157" s="26">
        <f t="shared" si="20"/>
        <v>6906.0283687943265</v>
      </c>
      <c r="G157" s="34">
        <f t="shared" si="21"/>
        <v>8287.2340425531911</v>
      </c>
      <c r="H157" s="37">
        <v>77900</v>
      </c>
      <c r="I157" s="87">
        <f t="shared" si="22"/>
        <v>93480</v>
      </c>
      <c r="J157" s="89">
        <v>119900</v>
      </c>
      <c r="K157" s="56">
        <f t="shared" si="23"/>
        <v>143880</v>
      </c>
      <c r="L157" s="30">
        <f t="shared" si="24"/>
        <v>0.35029190992493747</v>
      </c>
    </row>
    <row r="158" spans="1:13" ht="14.25" customHeight="1">
      <c r="A158" s="25" t="s">
        <v>361</v>
      </c>
      <c r="B158" s="25" t="s">
        <v>362</v>
      </c>
      <c r="C158" s="25" t="s">
        <v>363</v>
      </c>
      <c r="D158" s="32" t="s">
        <v>364</v>
      </c>
      <c r="E158" s="33">
        <v>12.6</v>
      </c>
      <c r="F158" s="26">
        <f t="shared" si="20"/>
        <v>9210.9929078014193</v>
      </c>
      <c r="G158" s="34">
        <f t="shared" si="21"/>
        <v>11053.191489361703</v>
      </c>
      <c r="H158" s="37">
        <v>103900</v>
      </c>
      <c r="I158" s="87">
        <f t="shared" si="22"/>
        <v>124680</v>
      </c>
      <c r="J158" s="89">
        <v>159900</v>
      </c>
      <c r="K158" s="56">
        <f t="shared" si="23"/>
        <v>191880</v>
      </c>
      <c r="L158" s="30">
        <f t="shared" si="24"/>
        <v>0.35021888680425267</v>
      </c>
    </row>
    <row r="159" spans="1:13" ht="14.25" customHeight="1">
      <c r="A159" s="25" t="s">
        <v>365</v>
      </c>
      <c r="B159" s="25" t="s">
        <v>223</v>
      </c>
      <c r="C159" s="25" t="s">
        <v>366</v>
      </c>
      <c r="D159" s="32" t="s">
        <v>367</v>
      </c>
      <c r="E159" s="33">
        <v>10.5</v>
      </c>
      <c r="F159" s="26">
        <f t="shared" si="20"/>
        <v>5044.3262411347523</v>
      </c>
      <c r="G159" s="34">
        <f t="shared" si="21"/>
        <v>6053.1914893617022</v>
      </c>
      <c r="H159" s="37">
        <v>56900</v>
      </c>
      <c r="I159" s="87">
        <f t="shared" si="22"/>
        <v>68280</v>
      </c>
      <c r="J159" s="89">
        <v>87900</v>
      </c>
      <c r="K159" s="56">
        <f t="shared" si="23"/>
        <v>105480</v>
      </c>
      <c r="L159" s="30">
        <f t="shared" si="24"/>
        <v>0.35267349260523323</v>
      </c>
    </row>
    <row r="160" spans="1:13" ht="14.25" customHeight="1">
      <c r="A160" s="25" t="s">
        <v>368</v>
      </c>
      <c r="B160" s="25" t="s">
        <v>223</v>
      </c>
      <c r="C160" s="25" t="s">
        <v>369</v>
      </c>
      <c r="D160" s="32" t="s">
        <v>370</v>
      </c>
      <c r="E160" s="33">
        <v>10.5</v>
      </c>
      <c r="F160" s="26">
        <f t="shared" si="20"/>
        <v>5930.8510638297876</v>
      </c>
      <c r="G160" s="34">
        <f t="shared" si="21"/>
        <v>7117.0212765957449</v>
      </c>
      <c r="H160" s="37">
        <v>66900</v>
      </c>
      <c r="I160" s="87">
        <f t="shared" si="22"/>
        <v>80280</v>
      </c>
      <c r="J160" s="89">
        <v>102900</v>
      </c>
      <c r="K160" s="56">
        <f t="shared" si="23"/>
        <v>123480</v>
      </c>
      <c r="L160" s="30">
        <f t="shared" si="24"/>
        <v>0.3498542274052478</v>
      </c>
    </row>
    <row r="161" spans="1:13" ht="14.25" customHeight="1">
      <c r="A161" s="25" t="s">
        <v>371</v>
      </c>
      <c r="B161" s="25" t="s">
        <v>223</v>
      </c>
      <c r="C161" s="25" t="s">
        <v>369</v>
      </c>
      <c r="D161" s="32" t="s">
        <v>372</v>
      </c>
      <c r="E161" s="33">
        <v>10.5</v>
      </c>
      <c r="F161" s="26">
        <f t="shared" si="20"/>
        <v>10363.475177304965</v>
      </c>
      <c r="G161" s="34">
        <f t="shared" si="21"/>
        <v>12436.170212765957</v>
      </c>
      <c r="H161" s="37">
        <v>116900</v>
      </c>
      <c r="I161" s="87">
        <f t="shared" si="22"/>
        <v>140280</v>
      </c>
      <c r="J161" s="89">
        <v>179900</v>
      </c>
      <c r="K161" s="56">
        <f t="shared" si="23"/>
        <v>215880</v>
      </c>
      <c r="L161" s="30">
        <f t="shared" si="24"/>
        <v>0.35019455252918286</v>
      </c>
    </row>
    <row r="162" spans="1:13" ht="14.25" customHeight="1">
      <c r="A162" s="25" t="s">
        <v>373</v>
      </c>
      <c r="B162" s="25" t="s">
        <v>215</v>
      </c>
      <c r="C162" s="25" t="s">
        <v>357</v>
      </c>
      <c r="D162" s="32" t="s">
        <v>374</v>
      </c>
      <c r="E162" s="33">
        <v>8.6999999999999993</v>
      </c>
      <c r="F162" s="26">
        <f t="shared" si="20"/>
        <v>6019.5035460992913</v>
      </c>
      <c r="G162" s="34">
        <f t="shared" si="21"/>
        <v>7223.4042553191493</v>
      </c>
      <c r="H162" s="37">
        <v>67900</v>
      </c>
      <c r="I162" s="87">
        <f t="shared" si="22"/>
        <v>81480</v>
      </c>
      <c r="J162" s="89">
        <v>105900</v>
      </c>
      <c r="K162" s="56">
        <f t="shared" si="23"/>
        <v>127080</v>
      </c>
      <c r="L162" s="30">
        <f t="shared" si="24"/>
        <v>0.35882908404154862</v>
      </c>
    </row>
    <row r="163" spans="1:13" ht="14.25" customHeight="1">
      <c r="A163" s="25" t="s">
        <v>375</v>
      </c>
      <c r="B163" s="25" t="s">
        <v>186</v>
      </c>
      <c r="C163" s="25" t="s">
        <v>366</v>
      </c>
      <c r="D163" s="32" t="s">
        <v>376</v>
      </c>
      <c r="E163" s="33">
        <v>8.6999999999999993</v>
      </c>
      <c r="F163" s="26">
        <f t="shared" si="20"/>
        <v>10806.737588652482</v>
      </c>
      <c r="G163" s="34">
        <f t="shared" si="21"/>
        <v>12968.085106382978</v>
      </c>
      <c r="H163" s="37">
        <v>121900</v>
      </c>
      <c r="I163" s="87">
        <f t="shared" si="22"/>
        <v>146280</v>
      </c>
      <c r="J163" s="89">
        <v>187900</v>
      </c>
      <c r="K163" s="56">
        <f t="shared" si="23"/>
        <v>225480</v>
      </c>
      <c r="L163" s="30">
        <f t="shared" si="24"/>
        <v>0.35125066524747206</v>
      </c>
    </row>
    <row r="164" spans="1:13" ht="14.25" customHeight="1">
      <c r="A164" s="25" t="s">
        <v>377</v>
      </c>
      <c r="B164" s="25" t="s">
        <v>186</v>
      </c>
      <c r="C164" s="25" t="s">
        <v>357</v>
      </c>
      <c r="D164" s="32" t="s">
        <v>378</v>
      </c>
      <c r="E164" s="33">
        <v>8.6999999999999993</v>
      </c>
      <c r="F164" s="26">
        <f t="shared" si="20"/>
        <v>9122.3404255319147</v>
      </c>
      <c r="G164" s="34">
        <f t="shared" si="21"/>
        <v>10946.808510638297</v>
      </c>
      <c r="H164" s="37">
        <v>102900</v>
      </c>
      <c r="I164" s="87">
        <f t="shared" si="22"/>
        <v>123480</v>
      </c>
      <c r="J164" s="89">
        <v>158900</v>
      </c>
      <c r="K164" s="56">
        <f t="shared" si="23"/>
        <v>190680</v>
      </c>
      <c r="L164" s="30">
        <f t="shared" si="24"/>
        <v>0.3524229074889868</v>
      </c>
    </row>
    <row r="165" spans="1:13" ht="14.25" customHeight="1">
      <c r="A165" s="25" t="s">
        <v>379</v>
      </c>
      <c r="B165" s="25" t="s">
        <v>223</v>
      </c>
      <c r="C165" s="25" t="s">
        <v>366</v>
      </c>
      <c r="D165" s="31" t="s">
        <v>380</v>
      </c>
      <c r="E165" s="62">
        <v>10.5</v>
      </c>
      <c r="F165" s="26">
        <f t="shared" si="20"/>
        <v>7969.8581560283692</v>
      </c>
      <c r="G165" s="34">
        <f t="shared" si="21"/>
        <v>9563.8297872340427</v>
      </c>
      <c r="H165" s="37">
        <v>89900</v>
      </c>
      <c r="I165" s="87">
        <f t="shared" si="22"/>
        <v>107880</v>
      </c>
      <c r="J165" s="89">
        <v>138900</v>
      </c>
      <c r="K165" s="56">
        <f t="shared" si="23"/>
        <v>166680</v>
      </c>
      <c r="L165" s="30">
        <f t="shared" si="24"/>
        <v>0.35277177825773937</v>
      </c>
    </row>
    <row r="166" spans="1:13" ht="14.25" customHeight="1">
      <c r="A166" s="25" t="s">
        <v>381</v>
      </c>
      <c r="B166" s="23" t="s">
        <v>382</v>
      </c>
      <c r="C166" s="25" t="s">
        <v>363</v>
      </c>
      <c r="D166" s="32" t="s">
        <v>383</v>
      </c>
      <c r="E166" s="62">
        <v>15.4</v>
      </c>
      <c r="F166" s="26">
        <f t="shared" si="20"/>
        <v>10274.822695035462</v>
      </c>
      <c r="G166" s="34">
        <f t="shared" si="21"/>
        <v>12329.787234042555</v>
      </c>
      <c r="H166" s="37">
        <v>115900</v>
      </c>
      <c r="I166" s="87">
        <f t="shared" si="22"/>
        <v>139080</v>
      </c>
      <c r="J166" s="89">
        <v>178900</v>
      </c>
      <c r="K166" s="56">
        <f t="shared" si="23"/>
        <v>214680</v>
      </c>
      <c r="L166" s="30">
        <f t="shared" si="24"/>
        <v>0.35215204024594748</v>
      </c>
    </row>
    <row r="167" spans="1:13" ht="14.25" customHeight="1">
      <c r="A167" s="23" t="s">
        <v>384</v>
      </c>
      <c r="B167" s="25" t="s">
        <v>215</v>
      </c>
      <c r="C167" s="25" t="s">
        <v>366</v>
      </c>
      <c r="D167" s="31" t="s">
        <v>385</v>
      </c>
      <c r="E167" s="62">
        <v>10.5</v>
      </c>
      <c r="F167" s="26">
        <f t="shared" si="20"/>
        <v>14352.836879432625</v>
      </c>
      <c r="G167" s="34">
        <f t="shared" si="21"/>
        <v>17223.40425531915</v>
      </c>
      <c r="H167" s="37">
        <v>161900</v>
      </c>
      <c r="I167" s="87">
        <f t="shared" si="22"/>
        <v>194280</v>
      </c>
      <c r="J167" s="89">
        <v>249900</v>
      </c>
      <c r="K167" s="56">
        <f t="shared" si="23"/>
        <v>299880</v>
      </c>
      <c r="L167" s="30">
        <f t="shared" si="24"/>
        <v>0.352140856342537</v>
      </c>
    </row>
    <row r="168" spans="1:13" ht="14.25" customHeight="1">
      <c r="A168" s="18" t="s">
        <v>387</v>
      </c>
      <c r="B168" s="19"/>
      <c r="C168" s="19"/>
      <c r="E168" s="19"/>
      <c r="F168" s="19"/>
      <c r="G168" s="19"/>
      <c r="H168" s="21"/>
      <c r="I168" s="21"/>
      <c r="J168" s="21"/>
      <c r="K168" s="21"/>
      <c r="L168" s="30"/>
    </row>
    <row r="169" spans="1:13" ht="14.25" customHeight="1">
      <c r="A169" s="23" t="s">
        <v>388</v>
      </c>
      <c r="B169" s="25" t="s">
        <v>215</v>
      </c>
      <c r="C169" s="25" t="s">
        <v>229</v>
      </c>
      <c r="D169" s="32" t="s">
        <v>389</v>
      </c>
      <c r="E169" s="33">
        <v>2.2000000000000002</v>
      </c>
      <c r="F169" s="26">
        <f t="shared" si="20"/>
        <v>2296.0992907801419</v>
      </c>
      <c r="G169" s="34">
        <f t="shared" si="21"/>
        <v>2755.3191489361702</v>
      </c>
      <c r="H169" s="35">
        <v>25900</v>
      </c>
      <c r="I169" s="87">
        <f t="shared" si="22"/>
        <v>31080</v>
      </c>
      <c r="J169" s="88">
        <v>39900</v>
      </c>
      <c r="K169" s="56">
        <f t="shared" si="23"/>
        <v>47880</v>
      </c>
      <c r="L169" s="30">
        <f t="shared" si="24"/>
        <v>0.35087719298245612</v>
      </c>
      <c r="M169" s="97"/>
    </row>
    <row r="170" spans="1:13" ht="14.25" customHeight="1">
      <c r="A170" s="23" t="s">
        <v>390</v>
      </c>
      <c r="B170" s="25" t="s">
        <v>215</v>
      </c>
      <c r="C170" s="25" t="s">
        <v>391</v>
      </c>
      <c r="D170" s="32" t="s">
        <v>392</v>
      </c>
      <c r="E170" s="33">
        <v>4.5</v>
      </c>
      <c r="F170" s="26">
        <f t="shared" si="20"/>
        <v>2828.0141843971633</v>
      </c>
      <c r="G170" s="34">
        <f t="shared" si="21"/>
        <v>3393.617021276596</v>
      </c>
      <c r="H170" s="37">
        <v>31900</v>
      </c>
      <c r="I170" s="87">
        <f t="shared" si="22"/>
        <v>38280</v>
      </c>
      <c r="J170" s="89">
        <v>49900</v>
      </c>
      <c r="K170" s="56">
        <f t="shared" si="23"/>
        <v>59880</v>
      </c>
      <c r="L170" s="30">
        <f t="shared" si="24"/>
        <v>0.36072144288577157</v>
      </c>
      <c r="M170" s="97"/>
    </row>
    <row r="171" spans="1:13" ht="14.25" customHeight="1">
      <c r="A171" s="23" t="s">
        <v>393</v>
      </c>
      <c r="B171" s="25" t="s">
        <v>223</v>
      </c>
      <c r="C171" s="25" t="s">
        <v>394</v>
      </c>
      <c r="D171" s="32" t="s">
        <v>395</v>
      </c>
      <c r="E171" s="33">
        <v>4.4000000000000004</v>
      </c>
      <c r="F171" s="26">
        <f t="shared" si="20"/>
        <v>3803.1914893617022</v>
      </c>
      <c r="G171" s="34">
        <f t="shared" si="21"/>
        <v>4563.8297872340427</v>
      </c>
      <c r="H171" s="37">
        <v>42900</v>
      </c>
      <c r="I171" s="87">
        <f t="shared" si="22"/>
        <v>51480</v>
      </c>
      <c r="J171" s="89">
        <v>66900</v>
      </c>
      <c r="K171" s="56">
        <f t="shared" si="23"/>
        <v>80280</v>
      </c>
      <c r="L171" s="30">
        <f t="shared" si="24"/>
        <v>0.35874439461883406</v>
      </c>
      <c r="M171" s="97"/>
    </row>
    <row r="172" spans="1:13" ht="14.25" customHeight="1">
      <c r="A172" s="23" t="s">
        <v>396</v>
      </c>
      <c r="B172" s="25" t="s">
        <v>223</v>
      </c>
      <c r="C172" s="25" t="s">
        <v>397</v>
      </c>
      <c r="D172" s="32" t="s">
        <v>398</v>
      </c>
      <c r="E172" s="33">
        <v>7</v>
      </c>
      <c r="F172" s="26">
        <f t="shared" si="20"/>
        <v>4246.4539007092199</v>
      </c>
      <c r="G172" s="34">
        <f t="shared" si="21"/>
        <v>5095.744680851064</v>
      </c>
      <c r="H172" s="37">
        <v>47900</v>
      </c>
      <c r="I172" s="87">
        <f t="shared" si="22"/>
        <v>57480</v>
      </c>
      <c r="J172" s="89">
        <v>73900</v>
      </c>
      <c r="K172" s="56">
        <f t="shared" si="23"/>
        <v>88680</v>
      </c>
      <c r="L172" s="30">
        <f t="shared" si="24"/>
        <v>0.35182679296346414</v>
      </c>
      <c r="M172" s="97"/>
    </row>
    <row r="173" spans="1:13" ht="14.25" customHeight="1">
      <c r="A173" s="25" t="s">
        <v>399</v>
      </c>
      <c r="B173" s="25" t="s">
        <v>223</v>
      </c>
      <c r="C173" s="25" t="s">
        <v>400</v>
      </c>
      <c r="D173" s="32" t="s">
        <v>401</v>
      </c>
      <c r="E173" s="59">
        <v>4.5</v>
      </c>
      <c r="F173" s="26">
        <f t="shared" si="20"/>
        <v>3005.3191489361702</v>
      </c>
      <c r="G173" s="34">
        <f t="shared" si="21"/>
        <v>3606.382978723404</v>
      </c>
      <c r="H173" s="37">
        <v>33900</v>
      </c>
      <c r="I173" s="87">
        <f t="shared" si="22"/>
        <v>40680</v>
      </c>
      <c r="J173" s="89">
        <v>52900</v>
      </c>
      <c r="K173" s="56">
        <f t="shared" si="23"/>
        <v>63480</v>
      </c>
      <c r="L173" s="30">
        <f t="shared" si="24"/>
        <v>0.35916824196597352</v>
      </c>
      <c r="M173" s="97"/>
    </row>
    <row r="174" spans="1:13" ht="14.25" customHeight="1">
      <c r="A174" s="25" t="s">
        <v>402</v>
      </c>
      <c r="B174" s="25" t="s">
        <v>215</v>
      </c>
      <c r="C174" s="25" t="s">
        <v>391</v>
      </c>
      <c r="D174" s="32" t="s">
        <v>403</v>
      </c>
      <c r="E174" s="33">
        <v>3.6</v>
      </c>
      <c r="F174" s="26">
        <f t="shared" si="20"/>
        <v>3271.2765957446809</v>
      </c>
      <c r="G174" s="34">
        <f t="shared" si="21"/>
        <v>3925.5319148936169</v>
      </c>
      <c r="H174" s="37">
        <v>36900</v>
      </c>
      <c r="I174" s="87">
        <f t="shared" si="22"/>
        <v>44280</v>
      </c>
      <c r="J174" s="89">
        <v>56900</v>
      </c>
      <c r="K174" s="56">
        <f t="shared" si="23"/>
        <v>68280</v>
      </c>
      <c r="L174" s="30">
        <f t="shared" si="24"/>
        <v>0.35149384885764501</v>
      </c>
      <c r="M174" s="97"/>
    </row>
    <row r="175" spans="1:13" ht="14.25" customHeight="1">
      <c r="A175" s="25" t="s">
        <v>404</v>
      </c>
      <c r="B175" s="25" t="s">
        <v>23</v>
      </c>
      <c r="C175" s="25" t="s">
        <v>391</v>
      </c>
      <c r="D175" s="32" t="s">
        <v>405</v>
      </c>
      <c r="E175" s="33">
        <v>3.6</v>
      </c>
      <c r="F175" s="26">
        <f t="shared" si="20"/>
        <v>3537.2340425531916</v>
      </c>
      <c r="G175" s="34">
        <f t="shared" si="21"/>
        <v>4244.6808510638293</v>
      </c>
      <c r="H175" s="37">
        <v>39900</v>
      </c>
      <c r="I175" s="87">
        <f t="shared" si="22"/>
        <v>47880</v>
      </c>
      <c r="J175" s="89">
        <v>61900</v>
      </c>
      <c r="K175" s="56">
        <f t="shared" si="23"/>
        <v>74280</v>
      </c>
      <c r="L175" s="30">
        <f t="shared" si="24"/>
        <v>0.35541195476575121</v>
      </c>
      <c r="M175" s="97"/>
    </row>
    <row r="176" spans="1:13" ht="14.25" customHeight="1">
      <c r="A176" s="25" t="s">
        <v>406</v>
      </c>
      <c r="B176" s="25" t="s">
        <v>223</v>
      </c>
      <c r="C176" s="23" t="s">
        <v>201</v>
      </c>
      <c r="D176" s="25" t="s">
        <v>407</v>
      </c>
      <c r="E176" s="33">
        <v>8</v>
      </c>
      <c r="F176" s="26">
        <f t="shared" si="20"/>
        <v>5487.5886524822699</v>
      </c>
      <c r="G176" s="34">
        <f t="shared" si="21"/>
        <v>6585.1063829787236</v>
      </c>
      <c r="H176" s="37">
        <v>61900</v>
      </c>
      <c r="I176" s="87">
        <f t="shared" si="22"/>
        <v>74280</v>
      </c>
      <c r="J176" s="89">
        <v>95900</v>
      </c>
      <c r="K176" s="56">
        <f t="shared" si="23"/>
        <v>115080</v>
      </c>
      <c r="L176" s="30">
        <f t="shared" si="24"/>
        <v>0.35453597497393119</v>
      </c>
      <c r="M176" s="97"/>
    </row>
    <row r="177" spans="1:12" ht="14.25" customHeight="1">
      <c r="A177" s="25" t="s">
        <v>408</v>
      </c>
      <c r="B177" s="25" t="s">
        <v>215</v>
      </c>
      <c r="C177" s="23" t="s">
        <v>201</v>
      </c>
      <c r="D177" s="25" t="s">
        <v>407</v>
      </c>
      <c r="E177" s="33">
        <v>8</v>
      </c>
      <c r="F177" s="26">
        <f t="shared" si="20"/>
        <v>6019.5035460992913</v>
      </c>
      <c r="G177" s="34">
        <f t="shared" si="21"/>
        <v>7223.4042553191493</v>
      </c>
      <c r="H177" s="37">
        <v>67900</v>
      </c>
      <c r="I177" s="87">
        <f t="shared" si="22"/>
        <v>81480</v>
      </c>
      <c r="J177" s="89">
        <v>104900</v>
      </c>
      <c r="K177" s="56">
        <f t="shared" si="23"/>
        <v>125880</v>
      </c>
      <c r="L177" s="30">
        <f t="shared" si="24"/>
        <v>0.35271687321258344</v>
      </c>
    </row>
    <row r="178" spans="1:12" ht="14.25" customHeight="1">
      <c r="A178" s="25" t="s">
        <v>409</v>
      </c>
      <c r="B178" s="25" t="s">
        <v>23</v>
      </c>
      <c r="C178" s="23" t="s">
        <v>410</v>
      </c>
      <c r="D178" s="24" t="s">
        <v>407</v>
      </c>
      <c r="E178" s="33">
        <v>8</v>
      </c>
      <c r="F178" s="26">
        <f t="shared" si="20"/>
        <v>6019.5035460992913</v>
      </c>
      <c r="G178" s="34">
        <f t="shared" si="21"/>
        <v>7223.4042553191493</v>
      </c>
      <c r="H178" s="37">
        <v>67900</v>
      </c>
      <c r="I178" s="87">
        <f t="shared" si="22"/>
        <v>81480</v>
      </c>
      <c r="J178" s="89">
        <v>104900</v>
      </c>
      <c r="K178" s="56">
        <f t="shared" si="23"/>
        <v>125880</v>
      </c>
      <c r="L178" s="30">
        <f t="shared" si="24"/>
        <v>0.35271687321258344</v>
      </c>
    </row>
    <row r="179" spans="1:12" ht="14.25" customHeight="1">
      <c r="A179" s="25" t="s">
        <v>411</v>
      </c>
      <c r="B179" s="25" t="s">
        <v>186</v>
      </c>
      <c r="C179" s="23" t="s">
        <v>201</v>
      </c>
      <c r="D179" s="32" t="s">
        <v>407</v>
      </c>
      <c r="E179" s="33">
        <v>8</v>
      </c>
      <c r="F179" s="26">
        <f t="shared" si="20"/>
        <v>7260.6382978723404</v>
      </c>
      <c r="G179" s="34">
        <f t="shared" si="21"/>
        <v>8712.7659574468089</v>
      </c>
      <c r="H179" s="37">
        <v>81900</v>
      </c>
      <c r="I179" s="87">
        <f t="shared" si="22"/>
        <v>98280</v>
      </c>
      <c r="J179" s="89">
        <v>126900</v>
      </c>
      <c r="K179" s="56">
        <f t="shared" si="23"/>
        <v>152280</v>
      </c>
      <c r="L179" s="30">
        <f t="shared" si="24"/>
        <v>0.3546099290780142</v>
      </c>
    </row>
    <row r="180" spans="1:12" ht="14.25" customHeight="1">
      <c r="A180" s="70" t="s">
        <v>412</v>
      </c>
      <c r="B180" s="70" t="s">
        <v>223</v>
      </c>
      <c r="C180" s="23" t="s">
        <v>413</v>
      </c>
      <c r="D180" s="31" t="s">
        <v>414</v>
      </c>
      <c r="E180" s="59">
        <v>11</v>
      </c>
      <c r="F180" s="26">
        <f t="shared" si="20"/>
        <v>7083.3333333333339</v>
      </c>
      <c r="G180" s="34">
        <f t="shared" si="21"/>
        <v>8500</v>
      </c>
      <c r="H180" s="37">
        <v>79900</v>
      </c>
      <c r="I180" s="87">
        <f t="shared" si="22"/>
        <v>95880</v>
      </c>
      <c r="J180" s="89">
        <v>122900</v>
      </c>
      <c r="K180" s="56">
        <f t="shared" si="23"/>
        <v>147480</v>
      </c>
      <c r="L180" s="30">
        <f t="shared" si="24"/>
        <v>0.34987794955248169</v>
      </c>
    </row>
    <row r="181" spans="1:12" ht="14.25" customHeight="1">
      <c r="A181" s="98" t="s">
        <v>415</v>
      </c>
      <c r="B181" s="66" t="s">
        <v>289</v>
      </c>
      <c r="C181" s="96" t="s">
        <v>416</v>
      </c>
      <c r="D181" s="32" t="s">
        <v>417</v>
      </c>
      <c r="E181" s="33">
        <v>10</v>
      </c>
      <c r="F181" s="26">
        <f t="shared" si="20"/>
        <v>7083.3333333333339</v>
      </c>
      <c r="G181" s="34">
        <f t="shared" si="21"/>
        <v>8500</v>
      </c>
      <c r="H181" s="37">
        <v>79900</v>
      </c>
      <c r="I181" s="87">
        <f t="shared" si="22"/>
        <v>95880</v>
      </c>
      <c r="J181" s="89">
        <v>122900</v>
      </c>
      <c r="K181" s="56">
        <f t="shared" si="23"/>
        <v>147480</v>
      </c>
      <c r="L181" s="30">
        <f t="shared" si="24"/>
        <v>0.34987794955248169</v>
      </c>
    </row>
    <row r="182" spans="1:12" ht="14.25" customHeight="1">
      <c r="A182" s="99" t="s">
        <v>418</v>
      </c>
      <c r="B182" s="99" t="s">
        <v>215</v>
      </c>
      <c r="C182" s="85" t="s">
        <v>201</v>
      </c>
      <c r="D182" s="32" t="s">
        <v>401</v>
      </c>
      <c r="E182" s="33">
        <v>4.5</v>
      </c>
      <c r="F182" s="26">
        <f t="shared" si="20"/>
        <v>5753.5460992907801</v>
      </c>
      <c r="G182" s="34">
        <f t="shared" si="21"/>
        <v>6904.255319148936</v>
      </c>
      <c r="H182" s="37">
        <v>64900</v>
      </c>
      <c r="I182" s="87">
        <f t="shared" si="22"/>
        <v>77880</v>
      </c>
      <c r="J182" s="89">
        <v>99900</v>
      </c>
      <c r="K182" s="56">
        <f t="shared" si="23"/>
        <v>119880</v>
      </c>
      <c r="L182" s="30">
        <f t="shared" si="24"/>
        <v>0.35035035035035034</v>
      </c>
    </row>
    <row r="183" spans="1:12" ht="14.25" customHeight="1">
      <c r="A183" s="99" t="s">
        <v>419</v>
      </c>
      <c r="B183" s="99" t="s">
        <v>186</v>
      </c>
      <c r="C183" s="85" t="s">
        <v>420</v>
      </c>
      <c r="D183" s="32" t="s">
        <v>407</v>
      </c>
      <c r="E183" s="33">
        <v>11</v>
      </c>
      <c r="F183" s="26">
        <f t="shared" si="20"/>
        <v>8324.468085106384</v>
      </c>
      <c r="G183" s="34">
        <f t="shared" si="21"/>
        <v>9989.3617021276605</v>
      </c>
      <c r="H183" s="37">
        <v>93900</v>
      </c>
      <c r="I183" s="87">
        <f t="shared" si="22"/>
        <v>112680</v>
      </c>
      <c r="J183" s="89">
        <v>145900</v>
      </c>
      <c r="K183" s="56">
        <f t="shared" si="23"/>
        <v>175080</v>
      </c>
      <c r="L183" s="30">
        <f t="shared" si="24"/>
        <v>0.35640849897189858</v>
      </c>
    </row>
    <row r="184" spans="1:12" ht="14.25" customHeight="1">
      <c r="A184" s="99" t="s">
        <v>419</v>
      </c>
      <c r="B184" s="99" t="s">
        <v>215</v>
      </c>
      <c r="C184" s="85" t="s">
        <v>201</v>
      </c>
      <c r="D184" s="32" t="s">
        <v>401</v>
      </c>
      <c r="E184" s="33">
        <v>4.5</v>
      </c>
      <c r="F184" s="26">
        <f t="shared" si="20"/>
        <v>7792.5531914893618</v>
      </c>
      <c r="G184" s="34">
        <f t="shared" si="21"/>
        <v>9351.0638297872338</v>
      </c>
      <c r="H184" s="37">
        <v>87900</v>
      </c>
      <c r="I184" s="87">
        <f t="shared" si="22"/>
        <v>105480</v>
      </c>
      <c r="J184" s="89">
        <v>135900</v>
      </c>
      <c r="K184" s="56">
        <f t="shared" si="23"/>
        <v>163080</v>
      </c>
      <c r="L184" s="30">
        <f t="shared" si="24"/>
        <v>0.35320088300220753</v>
      </c>
    </row>
    <row r="185" spans="1:12" ht="14.25" customHeight="1">
      <c r="A185" s="100" t="s">
        <v>421</v>
      </c>
      <c r="B185" s="99" t="s">
        <v>186</v>
      </c>
      <c r="C185" s="96" t="s">
        <v>422</v>
      </c>
      <c r="D185" s="25" t="s">
        <v>407</v>
      </c>
      <c r="E185" s="33">
        <v>9.8000000000000007</v>
      </c>
      <c r="F185" s="26">
        <f t="shared" si="20"/>
        <v>16480.496453900709</v>
      </c>
      <c r="G185" s="34">
        <f t="shared" si="21"/>
        <v>19776.59574468085</v>
      </c>
      <c r="H185" s="37">
        <v>185900</v>
      </c>
      <c r="I185" s="87">
        <f t="shared" si="22"/>
        <v>223080</v>
      </c>
      <c r="J185" s="90">
        <v>285900</v>
      </c>
      <c r="K185" s="56">
        <f t="shared" si="23"/>
        <v>343080</v>
      </c>
      <c r="L185" s="30">
        <f t="shared" si="24"/>
        <v>0.34977264777894368</v>
      </c>
    </row>
    <row r="186" spans="1:12" ht="14.25" customHeight="1">
      <c r="A186" s="100" t="s">
        <v>423</v>
      </c>
      <c r="B186" s="99" t="s">
        <v>186</v>
      </c>
      <c r="C186" s="96" t="s">
        <v>424</v>
      </c>
      <c r="D186" s="32" t="s">
        <v>425</v>
      </c>
      <c r="E186" s="33">
        <v>15</v>
      </c>
      <c r="F186" s="26">
        <f t="shared" si="20"/>
        <v>13023.049645390072</v>
      </c>
      <c r="G186" s="34">
        <f t="shared" si="21"/>
        <v>15627.659574468085</v>
      </c>
      <c r="H186" s="42">
        <v>146900</v>
      </c>
      <c r="I186" s="87">
        <f t="shared" si="22"/>
        <v>176280</v>
      </c>
      <c r="J186" s="101">
        <v>225900</v>
      </c>
      <c r="K186" s="56">
        <f t="shared" si="23"/>
        <v>271080</v>
      </c>
      <c r="L186" s="30">
        <f t="shared" si="24"/>
        <v>0.34971226206285966</v>
      </c>
    </row>
    <row r="187" spans="1:12" ht="14.25" customHeight="1">
      <c r="A187" s="18" t="s">
        <v>426</v>
      </c>
      <c r="B187" s="19"/>
      <c r="C187" s="19"/>
      <c r="D187" s="63"/>
      <c r="E187" s="19"/>
      <c r="F187" s="19"/>
      <c r="G187" s="19"/>
      <c r="H187" s="21"/>
      <c r="I187" s="21"/>
      <c r="J187" s="21"/>
      <c r="K187" s="21"/>
    </row>
    <row r="188" spans="1:12" ht="14.25" customHeight="1">
      <c r="A188" s="102" t="s">
        <v>427</v>
      </c>
      <c r="B188" s="25" t="s">
        <v>215</v>
      </c>
      <c r="C188" s="85" t="s">
        <v>201</v>
      </c>
      <c r="D188" s="31" t="s">
        <v>428</v>
      </c>
      <c r="E188" s="59">
        <v>8.1999999999999993</v>
      </c>
      <c r="F188" s="26">
        <f t="shared" si="20"/>
        <v>9033.6879432624119</v>
      </c>
      <c r="G188" s="34">
        <f t="shared" si="21"/>
        <v>10840.425531914894</v>
      </c>
      <c r="H188" s="35">
        <v>101900</v>
      </c>
      <c r="I188" s="36">
        <f t="shared" si="22"/>
        <v>122280</v>
      </c>
      <c r="J188" s="58">
        <v>157900</v>
      </c>
      <c r="K188" s="56">
        <f t="shared" si="23"/>
        <v>189480</v>
      </c>
      <c r="L188" s="30">
        <f t="shared" si="24"/>
        <v>0.3546548448385054</v>
      </c>
    </row>
    <row r="189" spans="1:12" ht="14.25" customHeight="1">
      <c r="A189" s="102" t="s">
        <v>429</v>
      </c>
      <c r="B189" s="25" t="s">
        <v>215</v>
      </c>
      <c r="C189" s="85" t="s">
        <v>201</v>
      </c>
      <c r="D189" s="31" t="s">
        <v>430</v>
      </c>
      <c r="E189" s="59">
        <v>15</v>
      </c>
      <c r="F189" s="26">
        <f t="shared" si="20"/>
        <v>12668.439716312057</v>
      </c>
      <c r="G189" s="34">
        <f t="shared" si="21"/>
        <v>15202.127659574468</v>
      </c>
      <c r="H189" s="37">
        <v>142900</v>
      </c>
      <c r="I189" s="36">
        <f t="shared" si="22"/>
        <v>171480</v>
      </c>
      <c r="J189" s="58">
        <v>219900</v>
      </c>
      <c r="K189" s="56">
        <f t="shared" si="23"/>
        <v>263880</v>
      </c>
      <c r="L189" s="30">
        <f t="shared" si="24"/>
        <v>0.35015916325602547</v>
      </c>
    </row>
    <row r="190" spans="1:12" ht="14.25" customHeight="1">
      <c r="A190" s="102" t="s">
        <v>431</v>
      </c>
      <c r="B190" s="25" t="s">
        <v>223</v>
      </c>
      <c r="C190" s="85" t="s">
        <v>201</v>
      </c>
      <c r="D190" s="31" t="s">
        <v>432</v>
      </c>
      <c r="E190" s="59">
        <v>22.4</v>
      </c>
      <c r="F190" s="26">
        <f t="shared" si="20"/>
        <v>14796.099290780143</v>
      </c>
      <c r="G190" s="34">
        <f t="shared" si="21"/>
        <v>17755.319148936171</v>
      </c>
      <c r="H190" s="42">
        <v>166900</v>
      </c>
      <c r="I190" s="36">
        <f t="shared" si="22"/>
        <v>200280</v>
      </c>
      <c r="J190" s="40">
        <v>256900</v>
      </c>
      <c r="K190" s="56">
        <f t="shared" si="23"/>
        <v>308280</v>
      </c>
      <c r="L190" s="30">
        <f t="shared" si="24"/>
        <v>0.35033086804203972</v>
      </c>
    </row>
    <row r="191" spans="1:12" ht="14.25" hidden="1" customHeight="1">
      <c r="A191" s="18" t="s">
        <v>433</v>
      </c>
      <c r="B191" s="19"/>
      <c r="C191" s="19"/>
      <c r="D191" s="63"/>
      <c r="E191" s="19"/>
      <c r="F191" s="19"/>
      <c r="G191" s="19"/>
      <c r="H191" s="21"/>
      <c r="I191" s="21"/>
      <c r="J191" s="21"/>
      <c r="K191" s="21"/>
    </row>
    <row r="192" spans="1:12" ht="14.25" hidden="1" customHeight="1">
      <c r="A192" s="23" t="s">
        <v>434</v>
      </c>
      <c r="B192" s="25" t="s">
        <v>223</v>
      </c>
      <c r="C192" s="25"/>
      <c r="D192" s="31"/>
      <c r="E192" s="23"/>
      <c r="F192" s="23"/>
      <c r="G192" s="23"/>
      <c r="H192" s="28"/>
      <c r="I192" s="28">
        <f t="shared" si="22"/>
        <v>0</v>
      </c>
      <c r="J192" s="40"/>
      <c r="K192" s="56">
        <f t="shared" si="23"/>
        <v>0</v>
      </c>
      <c r="L192" s="30" t="e">
        <f t="shared" si="24"/>
        <v>#DIV/0!</v>
      </c>
    </row>
    <row r="193" spans="1:12" ht="14.25" hidden="1" customHeight="1">
      <c r="A193" s="23" t="s">
        <v>435</v>
      </c>
      <c r="B193" s="25" t="s">
        <v>223</v>
      </c>
      <c r="C193" s="25"/>
      <c r="D193" s="31"/>
      <c r="E193" s="23"/>
      <c r="F193" s="23"/>
      <c r="G193" s="23"/>
      <c r="H193" s="28"/>
      <c r="I193" s="28">
        <f t="shared" si="22"/>
        <v>0</v>
      </c>
      <c r="J193" s="40"/>
      <c r="K193" s="56">
        <f t="shared" si="23"/>
        <v>0</v>
      </c>
      <c r="L193" s="30" t="e">
        <f t="shared" si="24"/>
        <v>#DIV/0!</v>
      </c>
    </row>
    <row r="194" spans="1:12" ht="14.25" hidden="1" customHeight="1">
      <c r="A194" s="23" t="s">
        <v>436</v>
      </c>
      <c r="B194" s="25" t="s">
        <v>223</v>
      </c>
      <c r="C194" s="25"/>
      <c r="D194" s="31"/>
      <c r="E194" s="23"/>
      <c r="F194" s="23"/>
      <c r="G194" s="23"/>
      <c r="H194" s="28"/>
      <c r="I194" s="28">
        <f t="shared" si="22"/>
        <v>0</v>
      </c>
      <c r="J194" s="40"/>
      <c r="K194" s="56">
        <f t="shared" si="23"/>
        <v>0</v>
      </c>
      <c r="L194" s="30" t="e">
        <f t="shared" si="24"/>
        <v>#DIV/0!</v>
      </c>
    </row>
    <row r="195" spans="1:12" ht="14.25" customHeight="1">
      <c r="A195" s="137" t="s">
        <v>437</v>
      </c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</row>
    <row r="196" spans="1:12" ht="14.25" customHeight="1">
      <c r="A196" s="103" t="s">
        <v>438</v>
      </c>
      <c r="B196" s="82"/>
      <c r="C196" s="82"/>
      <c r="D196" s="82"/>
      <c r="E196" s="82"/>
      <c r="F196" s="19"/>
      <c r="G196" s="19"/>
      <c r="H196" s="21"/>
      <c r="I196" s="83"/>
      <c r="J196" s="83"/>
      <c r="K196" s="84"/>
    </row>
    <row r="197" spans="1:12" ht="14.25" customHeight="1">
      <c r="A197" s="23" t="s">
        <v>439</v>
      </c>
      <c r="B197" s="23" t="s">
        <v>258</v>
      </c>
      <c r="C197" s="23"/>
      <c r="D197" s="23" t="s">
        <v>440</v>
      </c>
      <c r="E197" s="33">
        <v>27</v>
      </c>
      <c r="F197" s="26">
        <f t="shared" si="20"/>
        <v>49636.524822695035</v>
      </c>
      <c r="G197" s="34">
        <f t="shared" si="21"/>
        <v>59563.829787234041</v>
      </c>
      <c r="H197" s="35">
        <v>559900</v>
      </c>
      <c r="I197" s="36">
        <f t="shared" si="22"/>
        <v>671880</v>
      </c>
      <c r="J197" s="58">
        <v>861900</v>
      </c>
      <c r="K197" s="56">
        <f t="shared" si="23"/>
        <v>1034280</v>
      </c>
      <c r="L197" s="30">
        <f t="shared" si="24"/>
        <v>0.35038867618053138</v>
      </c>
    </row>
    <row r="198" spans="1:12" ht="14.25" customHeight="1">
      <c r="A198" s="23" t="s">
        <v>441</v>
      </c>
      <c r="B198" s="23" t="s">
        <v>258</v>
      </c>
      <c r="C198" s="23"/>
      <c r="D198" s="23" t="s">
        <v>442</v>
      </c>
      <c r="E198" s="59">
        <v>36</v>
      </c>
      <c r="F198" s="26">
        <f t="shared" si="20"/>
        <v>70558.51063829787</v>
      </c>
      <c r="G198" s="34">
        <f t="shared" si="21"/>
        <v>84670.212765957447</v>
      </c>
      <c r="H198" s="42">
        <v>795900</v>
      </c>
      <c r="I198" s="36">
        <f t="shared" si="22"/>
        <v>955080</v>
      </c>
      <c r="J198" s="58">
        <v>1224900</v>
      </c>
      <c r="K198" s="56">
        <f t="shared" si="23"/>
        <v>1469880</v>
      </c>
      <c r="L198" s="30">
        <f t="shared" si="24"/>
        <v>0.35023267205486164</v>
      </c>
    </row>
    <row r="199" spans="1:12" ht="14.25" customHeight="1">
      <c r="A199" s="103" t="s">
        <v>443</v>
      </c>
      <c r="B199" s="82"/>
      <c r="C199" s="82"/>
      <c r="D199" s="82"/>
      <c r="E199" s="82"/>
      <c r="F199" s="19"/>
      <c r="G199" s="19"/>
      <c r="H199" s="21"/>
      <c r="I199" s="83"/>
      <c r="J199" s="83"/>
      <c r="K199" s="84"/>
    </row>
    <row r="200" spans="1:12" ht="14.25" customHeight="1">
      <c r="A200" s="23" t="s">
        <v>444</v>
      </c>
      <c r="B200" s="25" t="s">
        <v>23</v>
      </c>
      <c r="C200" s="25" t="s">
        <v>445</v>
      </c>
      <c r="D200" s="25" t="s">
        <v>446</v>
      </c>
      <c r="E200" s="33">
        <v>13.3</v>
      </c>
      <c r="F200" s="26">
        <f t="shared" si="20"/>
        <v>12668.439716312057</v>
      </c>
      <c r="G200" s="34">
        <f t="shared" si="21"/>
        <v>15202.127659574468</v>
      </c>
      <c r="H200" s="35">
        <v>142900</v>
      </c>
      <c r="I200" s="36">
        <f t="shared" si="22"/>
        <v>171480</v>
      </c>
      <c r="J200" s="58">
        <v>219900</v>
      </c>
      <c r="K200" s="56">
        <f t="shared" si="23"/>
        <v>263880</v>
      </c>
      <c r="L200" s="30">
        <f t="shared" si="24"/>
        <v>0.35015916325602547</v>
      </c>
    </row>
    <row r="201" spans="1:12" ht="14.25" customHeight="1">
      <c r="A201" s="23" t="s">
        <v>447</v>
      </c>
      <c r="B201" s="25" t="s">
        <v>23</v>
      </c>
      <c r="C201" s="23" t="s">
        <v>448</v>
      </c>
      <c r="D201" s="25" t="s">
        <v>449</v>
      </c>
      <c r="E201" s="33">
        <v>22.5</v>
      </c>
      <c r="F201" s="26">
        <f t="shared" si="20"/>
        <v>22420.212765957447</v>
      </c>
      <c r="G201" s="34">
        <f t="shared" si="21"/>
        <v>26904.255319148935</v>
      </c>
      <c r="H201" s="42">
        <v>252900</v>
      </c>
      <c r="I201" s="36">
        <f t="shared" si="22"/>
        <v>303480</v>
      </c>
      <c r="J201" s="58">
        <v>389900</v>
      </c>
      <c r="K201" s="56">
        <f t="shared" si="23"/>
        <v>467880</v>
      </c>
      <c r="L201" s="30">
        <f t="shared" si="24"/>
        <v>0.35137214670428313</v>
      </c>
    </row>
    <row r="202" spans="1:12" ht="14.25" customHeight="1">
      <c r="A202" s="18" t="s">
        <v>450</v>
      </c>
      <c r="B202" s="104" t="s">
        <v>451</v>
      </c>
      <c r="C202" s="104" t="s">
        <v>452</v>
      </c>
      <c r="D202" s="19"/>
      <c r="E202" s="19"/>
      <c r="F202" s="19"/>
      <c r="G202" s="19"/>
      <c r="H202" s="21"/>
      <c r="I202" s="21"/>
      <c r="J202" s="21"/>
      <c r="K202" s="21"/>
    </row>
    <row r="203" spans="1:12" ht="14.25" customHeight="1">
      <c r="A203" s="23" t="s">
        <v>453</v>
      </c>
      <c r="B203" s="23" t="s">
        <v>454</v>
      </c>
      <c r="C203" s="23" t="s">
        <v>455</v>
      </c>
      <c r="D203" s="23" t="s">
        <v>456</v>
      </c>
      <c r="E203" s="62">
        <v>5</v>
      </c>
      <c r="F203" s="26">
        <f t="shared" si="20"/>
        <v>1675.5319148936171</v>
      </c>
      <c r="G203" s="34">
        <f t="shared" si="21"/>
        <v>2010.6382978723404</v>
      </c>
      <c r="H203" s="35">
        <v>18900</v>
      </c>
      <c r="I203" s="36">
        <f t="shared" si="22"/>
        <v>22680</v>
      </c>
      <c r="J203" s="40">
        <v>29900</v>
      </c>
      <c r="K203" s="56">
        <f t="shared" si="23"/>
        <v>35880</v>
      </c>
      <c r="L203" s="30">
        <f t="shared" si="24"/>
        <v>0.36789297658862874</v>
      </c>
    </row>
    <row r="204" spans="1:12" ht="14.25" customHeight="1">
      <c r="A204" s="23" t="s">
        <v>457</v>
      </c>
      <c r="B204" s="23" t="s">
        <v>458</v>
      </c>
      <c r="C204" s="23" t="s">
        <v>459</v>
      </c>
      <c r="D204" s="23" t="s">
        <v>460</v>
      </c>
      <c r="E204" s="62">
        <v>11</v>
      </c>
      <c r="F204" s="26">
        <f t="shared" si="20"/>
        <v>2473.4042553191489</v>
      </c>
      <c r="G204" s="34">
        <f t="shared" si="21"/>
        <v>2968.0851063829787</v>
      </c>
      <c r="H204" s="37">
        <v>27900</v>
      </c>
      <c r="I204" s="36">
        <f t="shared" si="22"/>
        <v>33480</v>
      </c>
      <c r="J204" s="40">
        <v>42900</v>
      </c>
      <c r="K204" s="56">
        <f t="shared" si="23"/>
        <v>51480</v>
      </c>
      <c r="L204" s="30">
        <f t="shared" si="24"/>
        <v>0.34965034965034963</v>
      </c>
    </row>
    <row r="205" spans="1:12" ht="14.25" customHeight="1">
      <c r="A205" s="23" t="s">
        <v>461</v>
      </c>
      <c r="B205" s="23" t="s">
        <v>462</v>
      </c>
      <c r="C205" s="23" t="s">
        <v>463</v>
      </c>
      <c r="D205" s="23" t="s">
        <v>460</v>
      </c>
      <c r="E205" s="62">
        <v>12</v>
      </c>
      <c r="F205" s="26">
        <f t="shared" si="20"/>
        <v>3093.9716312056739</v>
      </c>
      <c r="G205" s="34">
        <f t="shared" si="21"/>
        <v>3712.7659574468084</v>
      </c>
      <c r="H205" s="37">
        <v>34900</v>
      </c>
      <c r="I205" s="36">
        <f t="shared" si="22"/>
        <v>41880</v>
      </c>
      <c r="J205" s="40">
        <v>53900</v>
      </c>
      <c r="K205" s="56">
        <f t="shared" si="23"/>
        <v>64680</v>
      </c>
      <c r="L205" s="30">
        <f t="shared" si="24"/>
        <v>0.35250463821892392</v>
      </c>
    </row>
    <row r="206" spans="1:12" ht="14.25" customHeight="1">
      <c r="A206" s="23" t="s">
        <v>464</v>
      </c>
      <c r="B206" s="23" t="s">
        <v>465</v>
      </c>
      <c r="C206" s="23" t="s">
        <v>463</v>
      </c>
      <c r="D206" s="23" t="s">
        <v>466</v>
      </c>
      <c r="E206" s="62">
        <v>11</v>
      </c>
      <c r="F206" s="26">
        <f t="shared" si="20"/>
        <v>3980.4964539007096</v>
      </c>
      <c r="G206" s="34">
        <f t="shared" si="21"/>
        <v>4776.5957446808516</v>
      </c>
      <c r="H206" s="37">
        <v>44900</v>
      </c>
      <c r="I206" s="36">
        <f t="shared" si="22"/>
        <v>53880</v>
      </c>
      <c r="J206" s="40">
        <v>69900</v>
      </c>
      <c r="K206" s="56">
        <f t="shared" si="23"/>
        <v>83880</v>
      </c>
      <c r="L206" s="30">
        <f t="shared" si="24"/>
        <v>0.35765379113018597</v>
      </c>
    </row>
    <row r="207" spans="1:12" ht="14.25" customHeight="1">
      <c r="A207" s="23" t="s">
        <v>467</v>
      </c>
      <c r="B207" s="23" t="s">
        <v>462</v>
      </c>
      <c r="C207" s="23" t="s">
        <v>468</v>
      </c>
      <c r="D207" s="23" t="s">
        <v>469</v>
      </c>
      <c r="E207" s="62">
        <v>15.7</v>
      </c>
      <c r="F207" s="26">
        <f t="shared" si="20"/>
        <v>4157.8014184397161</v>
      </c>
      <c r="G207" s="34">
        <f t="shared" si="21"/>
        <v>4989.3617021276596</v>
      </c>
      <c r="H207" s="42">
        <v>46900</v>
      </c>
      <c r="I207" s="36">
        <f t="shared" si="22"/>
        <v>56280</v>
      </c>
      <c r="J207" s="40">
        <v>72900</v>
      </c>
      <c r="K207" s="56">
        <f t="shared" si="23"/>
        <v>87480</v>
      </c>
      <c r="L207" s="30">
        <f t="shared" si="24"/>
        <v>0.35665294924554186</v>
      </c>
    </row>
    <row r="208" spans="1:12" ht="14.25" customHeight="1">
      <c r="A208" s="18" t="s">
        <v>470</v>
      </c>
      <c r="B208" s="104" t="s">
        <v>451</v>
      </c>
      <c r="C208" s="104" t="s">
        <v>471</v>
      </c>
      <c r="D208" s="19"/>
      <c r="E208" s="19"/>
      <c r="F208" s="19"/>
      <c r="G208" s="19"/>
      <c r="H208" s="21"/>
      <c r="I208" s="21"/>
      <c r="J208" s="21"/>
      <c r="K208" s="21"/>
    </row>
    <row r="209" spans="1:12" ht="14.25" customHeight="1">
      <c r="A209" s="23" t="s">
        <v>472</v>
      </c>
      <c r="B209" s="23" t="s">
        <v>473</v>
      </c>
      <c r="C209" s="23" t="s">
        <v>474</v>
      </c>
      <c r="D209" s="23" t="s">
        <v>475</v>
      </c>
      <c r="E209" s="62">
        <v>15.5</v>
      </c>
      <c r="F209" s="26">
        <f t="shared" si="20"/>
        <v>8856.3829787234044</v>
      </c>
      <c r="G209" s="34">
        <f t="shared" si="21"/>
        <v>10627.659574468085</v>
      </c>
      <c r="H209" s="35">
        <v>99900</v>
      </c>
      <c r="I209" s="36">
        <f t="shared" si="22"/>
        <v>119880</v>
      </c>
      <c r="J209" s="58">
        <v>153900</v>
      </c>
      <c r="K209" s="56">
        <f t="shared" si="23"/>
        <v>184680</v>
      </c>
      <c r="L209" s="30">
        <f t="shared" si="24"/>
        <v>0.35087719298245612</v>
      </c>
    </row>
    <row r="210" spans="1:12" ht="14.25" customHeight="1">
      <c r="A210" s="23" t="s">
        <v>476</v>
      </c>
      <c r="B210" s="23" t="s">
        <v>477</v>
      </c>
      <c r="C210" s="23" t="s">
        <v>478</v>
      </c>
      <c r="D210" s="23" t="s">
        <v>475</v>
      </c>
      <c r="E210" s="62">
        <v>47</v>
      </c>
      <c r="F210" s="26">
        <f t="shared" si="20"/>
        <v>15062.056737588653</v>
      </c>
      <c r="G210" s="34">
        <f t="shared" si="21"/>
        <v>18074.468085106382</v>
      </c>
      <c r="H210" s="37">
        <v>169900</v>
      </c>
      <c r="I210" s="36">
        <f t="shared" si="22"/>
        <v>203880</v>
      </c>
      <c r="J210" s="40">
        <v>261900</v>
      </c>
      <c r="K210" s="56">
        <f t="shared" si="23"/>
        <v>314280</v>
      </c>
      <c r="L210" s="30">
        <f t="shared" si="24"/>
        <v>0.35127911416571211</v>
      </c>
    </row>
    <row r="211" spans="1:12" ht="14.25" customHeight="1">
      <c r="A211" s="23" t="s">
        <v>479</v>
      </c>
      <c r="B211" s="23" t="s">
        <v>480</v>
      </c>
      <c r="C211" s="23" t="s">
        <v>481</v>
      </c>
      <c r="D211" s="23" t="s">
        <v>475</v>
      </c>
      <c r="E211" s="62">
        <v>39.5</v>
      </c>
      <c r="F211" s="26">
        <f t="shared" si="20"/>
        <v>24370.567375886527</v>
      </c>
      <c r="G211" s="34">
        <f t="shared" si="21"/>
        <v>29244.680851063833</v>
      </c>
      <c r="H211" s="42">
        <v>274900</v>
      </c>
      <c r="I211" s="36">
        <f t="shared" si="22"/>
        <v>329880</v>
      </c>
      <c r="J211" s="40">
        <v>422900</v>
      </c>
      <c r="K211" s="56">
        <f t="shared" si="23"/>
        <v>507480</v>
      </c>
      <c r="L211" s="30">
        <f t="shared" si="24"/>
        <v>0.34996453062189642</v>
      </c>
    </row>
    <row r="212" spans="1:12" ht="14.25" customHeight="1">
      <c r="A212" s="18" t="s">
        <v>482</v>
      </c>
      <c r="B212" s="104" t="s">
        <v>451</v>
      </c>
      <c r="C212" s="104" t="s">
        <v>452</v>
      </c>
      <c r="D212" s="19"/>
      <c r="E212" s="19"/>
      <c r="F212" s="19"/>
      <c r="G212" s="19"/>
      <c r="H212" s="21"/>
      <c r="I212" s="21"/>
      <c r="J212" s="21"/>
      <c r="K212" s="21"/>
    </row>
    <row r="213" spans="1:12" ht="14.25" customHeight="1">
      <c r="A213" s="23" t="s">
        <v>483</v>
      </c>
      <c r="B213" s="23" t="s">
        <v>484</v>
      </c>
      <c r="C213" s="23" t="s">
        <v>485</v>
      </c>
      <c r="D213" s="23" t="s">
        <v>486</v>
      </c>
      <c r="E213" s="33">
        <v>3</v>
      </c>
      <c r="F213" s="26">
        <f t="shared" si="20"/>
        <v>1675.5319148936171</v>
      </c>
      <c r="G213" s="34">
        <f t="shared" si="21"/>
        <v>2010.6382978723404</v>
      </c>
      <c r="H213" s="35">
        <v>18900</v>
      </c>
      <c r="I213" s="36">
        <f t="shared" si="22"/>
        <v>22680</v>
      </c>
      <c r="J213" s="58">
        <v>29900</v>
      </c>
      <c r="K213" s="56">
        <f t="shared" si="23"/>
        <v>35880</v>
      </c>
      <c r="L213" s="30">
        <f t="shared" si="24"/>
        <v>0.36789297658862874</v>
      </c>
    </row>
    <row r="214" spans="1:12" ht="14.25" customHeight="1">
      <c r="A214" s="23" t="s">
        <v>487</v>
      </c>
      <c r="B214" s="23" t="s">
        <v>488</v>
      </c>
      <c r="C214" s="23" t="s">
        <v>489</v>
      </c>
      <c r="D214" s="23" t="s">
        <v>475</v>
      </c>
      <c r="E214" s="33">
        <v>7.8</v>
      </c>
      <c r="F214" s="26">
        <f t="shared" si="20"/>
        <v>3359.9290780141846</v>
      </c>
      <c r="G214" s="34">
        <f t="shared" si="21"/>
        <v>4031.9148936170213</v>
      </c>
      <c r="H214" s="37">
        <v>37900</v>
      </c>
      <c r="I214" s="36">
        <f t="shared" si="22"/>
        <v>45480</v>
      </c>
      <c r="J214" s="58">
        <v>58900</v>
      </c>
      <c r="K214" s="56">
        <f t="shared" si="23"/>
        <v>70680</v>
      </c>
      <c r="L214" s="30">
        <f t="shared" si="24"/>
        <v>0.35653650254668928</v>
      </c>
    </row>
    <row r="215" spans="1:12" ht="14.25" customHeight="1">
      <c r="A215" s="23" t="s">
        <v>490</v>
      </c>
      <c r="B215" s="23" t="s">
        <v>491</v>
      </c>
      <c r="C215" s="23" t="s">
        <v>492</v>
      </c>
      <c r="D215" s="23" t="s">
        <v>493</v>
      </c>
      <c r="E215" s="33">
        <v>27.9</v>
      </c>
      <c r="F215" s="26">
        <f t="shared" ref="F215:F271" si="25">H215/$F$2</f>
        <v>5132.978723404256</v>
      </c>
      <c r="G215" s="34">
        <f t="shared" si="21"/>
        <v>6159.5744680851067</v>
      </c>
      <c r="H215" s="37">
        <v>57900</v>
      </c>
      <c r="I215" s="36">
        <f t="shared" si="22"/>
        <v>69480</v>
      </c>
      <c r="J215" s="58">
        <v>89900</v>
      </c>
      <c r="K215" s="56">
        <f t="shared" si="23"/>
        <v>107880</v>
      </c>
      <c r="L215" s="30">
        <f t="shared" si="24"/>
        <v>0.35595105672969968</v>
      </c>
    </row>
    <row r="216" spans="1:12" ht="14.25" customHeight="1">
      <c r="A216" s="23" t="s">
        <v>494</v>
      </c>
      <c r="B216" s="23" t="s">
        <v>458</v>
      </c>
      <c r="C216" s="25" t="s">
        <v>495</v>
      </c>
      <c r="D216" s="23" t="s">
        <v>475</v>
      </c>
      <c r="E216" s="33">
        <v>18</v>
      </c>
      <c r="F216" s="26">
        <f t="shared" si="25"/>
        <v>6196.8085106382978</v>
      </c>
      <c r="G216" s="34">
        <f t="shared" si="21"/>
        <v>7436.1702127659573</v>
      </c>
      <c r="H216" s="37">
        <v>69900</v>
      </c>
      <c r="I216" s="36">
        <f t="shared" si="22"/>
        <v>83880</v>
      </c>
      <c r="J216" s="58">
        <v>107900</v>
      </c>
      <c r="K216" s="56">
        <f t="shared" si="23"/>
        <v>129480</v>
      </c>
      <c r="L216" s="30">
        <f t="shared" si="24"/>
        <v>0.35217794253938833</v>
      </c>
    </row>
    <row r="217" spans="1:12" ht="14.25" customHeight="1">
      <c r="A217" s="23" t="s">
        <v>496</v>
      </c>
      <c r="B217" s="23" t="s">
        <v>465</v>
      </c>
      <c r="C217" s="23" t="s">
        <v>497</v>
      </c>
      <c r="D217" s="23" t="s">
        <v>498</v>
      </c>
      <c r="E217" s="33">
        <v>23.7</v>
      </c>
      <c r="F217" s="26">
        <f t="shared" si="25"/>
        <v>29246.453900709221</v>
      </c>
      <c r="G217" s="34">
        <f t="shared" ref="G217:G273" si="26">F217*1.2</f>
        <v>35095.744680851065</v>
      </c>
      <c r="H217" s="42">
        <v>329900</v>
      </c>
      <c r="I217" s="36">
        <f t="shared" ref="I217:I220" si="27">H217*1.2</f>
        <v>395880</v>
      </c>
      <c r="J217" s="58">
        <v>509900</v>
      </c>
      <c r="K217" s="56">
        <f t="shared" ref="K217:K220" si="28">J217*1.2</f>
        <v>611880</v>
      </c>
      <c r="L217" s="30">
        <f t="shared" ref="L217:L273" si="29">(J217-H217)/J217</f>
        <v>0.35301039419494018</v>
      </c>
    </row>
    <row r="218" spans="1:12" ht="14.25" customHeight="1">
      <c r="A218" s="18" t="s">
        <v>499</v>
      </c>
      <c r="B218" s="104" t="s">
        <v>500</v>
      </c>
      <c r="C218" s="104" t="s">
        <v>329</v>
      </c>
      <c r="D218" s="19"/>
      <c r="E218" s="19"/>
      <c r="F218" s="19"/>
      <c r="G218" s="19"/>
      <c r="H218" s="21"/>
      <c r="I218" s="21"/>
      <c r="J218" s="21"/>
      <c r="K218" s="21"/>
    </row>
    <row r="219" spans="1:12" ht="14.25" customHeight="1">
      <c r="A219" s="23" t="s">
        <v>501</v>
      </c>
      <c r="B219" s="23" t="s">
        <v>502</v>
      </c>
      <c r="C219" s="23" t="s">
        <v>503</v>
      </c>
      <c r="D219" s="23" t="s">
        <v>504</v>
      </c>
      <c r="E219" s="62">
        <v>21</v>
      </c>
      <c r="F219" s="26">
        <f t="shared" si="25"/>
        <v>17721.631205673759</v>
      </c>
      <c r="G219" s="34">
        <f t="shared" si="26"/>
        <v>21265.957446808508</v>
      </c>
      <c r="H219" s="35">
        <v>199900</v>
      </c>
      <c r="I219" s="36">
        <f t="shared" si="27"/>
        <v>239880</v>
      </c>
      <c r="J219" s="40">
        <v>309900</v>
      </c>
      <c r="K219" s="56">
        <f t="shared" si="28"/>
        <v>371880</v>
      </c>
      <c r="L219" s="30">
        <f t="shared" si="29"/>
        <v>0.35495321071313329</v>
      </c>
    </row>
    <row r="220" spans="1:12" ht="14.25" customHeight="1">
      <c r="A220" s="23" t="s">
        <v>505</v>
      </c>
      <c r="B220" s="23" t="s">
        <v>502</v>
      </c>
      <c r="C220" s="23" t="s">
        <v>506</v>
      </c>
      <c r="D220" s="23" t="s">
        <v>507</v>
      </c>
      <c r="E220" s="62">
        <v>11.8</v>
      </c>
      <c r="F220" s="26">
        <f t="shared" si="25"/>
        <v>12668.439716312057</v>
      </c>
      <c r="G220" s="34">
        <f t="shared" si="26"/>
        <v>15202.127659574468</v>
      </c>
      <c r="H220" s="42">
        <v>142900</v>
      </c>
      <c r="I220" s="36">
        <f t="shared" si="27"/>
        <v>171480</v>
      </c>
      <c r="J220" s="40">
        <v>222900</v>
      </c>
      <c r="K220" s="56">
        <f t="shared" si="28"/>
        <v>267480</v>
      </c>
      <c r="L220" s="30">
        <f t="shared" si="29"/>
        <v>0.35890533871691344</v>
      </c>
    </row>
    <row r="221" spans="1:12" ht="14.25" hidden="1" customHeight="1">
      <c r="A221" s="23"/>
      <c r="B221" s="23"/>
      <c r="C221" s="23"/>
      <c r="D221" s="23"/>
      <c r="E221" s="23"/>
      <c r="F221" s="105"/>
      <c r="G221" s="105"/>
      <c r="H221" s="93"/>
      <c r="I221" s="28">
        <f t="shared" ref="I221:I227" si="30">H221*$I$2</f>
        <v>0</v>
      </c>
      <c r="J221" s="29"/>
      <c r="K221" s="94">
        <f t="shared" ref="K221:K227" si="31">J221*$K$2</f>
        <v>0</v>
      </c>
    </row>
    <row r="222" spans="1:12" ht="14.25" hidden="1" customHeight="1">
      <c r="A222" s="23"/>
      <c r="B222" s="23"/>
      <c r="C222" s="23"/>
      <c r="D222" s="23"/>
      <c r="E222" s="23"/>
      <c r="F222" s="23"/>
      <c r="G222" s="23"/>
      <c r="H222" s="28"/>
      <c r="I222" s="28">
        <f t="shared" si="30"/>
        <v>0</v>
      </c>
      <c r="J222" s="29"/>
      <c r="K222" s="29">
        <f t="shared" si="31"/>
        <v>0</v>
      </c>
    </row>
    <row r="223" spans="1:12" ht="14.25" hidden="1" customHeight="1">
      <c r="A223" s="23"/>
      <c r="B223" s="23"/>
      <c r="C223" s="23"/>
      <c r="D223" s="23"/>
      <c r="E223" s="23"/>
      <c r="F223" s="23"/>
      <c r="G223" s="23"/>
      <c r="H223" s="28"/>
      <c r="I223" s="28">
        <f t="shared" si="30"/>
        <v>0</v>
      </c>
      <c r="J223" s="29"/>
      <c r="K223" s="29">
        <f t="shared" si="31"/>
        <v>0</v>
      </c>
    </row>
    <row r="224" spans="1:12" ht="14.25" hidden="1" customHeight="1">
      <c r="A224" s="23"/>
      <c r="B224" s="23"/>
      <c r="C224" s="23"/>
      <c r="D224" s="23"/>
      <c r="E224" s="23"/>
      <c r="F224" s="23"/>
      <c r="G224" s="23"/>
      <c r="H224" s="28"/>
      <c r="I224" s="28">
        <f t="shared" si="30"/>
        <v>0</v>
      </c>
      <c r="J224" s="29"/>
      <c r="K224" s="29">
        <f t="shared" si="31"/>
        <v>0</v>
      </c>
    </row>
    <row r="225" spans="1:12" ht="14.25" hidden="1" customHeight="1">
      <c r="A225" s="23"/>
      <c r="B225" s="23"/>
      <c r="C225" s="23"/>
      <c r="D225" s="23"/>
      <c r="E225" s="23"/>
      <c r="F225" s="23"/>
      <c r="G225" s="23"/>
      <c r="H225" s="28"/>
      <c r="I225" s="28">
        <f t="shared" si="30"/>
        <v>0</v>
      </c>
      <c r="J225" s="29"/>
      <c r="K225" s="29">
        <f t="shared" si="31"/>
        <v>0</v>
      </c>
    </row>
    <row r="226" spans="1:12" ht="14.25" hidden="1" customHeight="1">
      <c r="A226" s="23"/>
      <c r="B226" s="23"/>
      <c r="C226" s="23"/>
      <c r="D226" s="23"/>
      <c r="E226" s="23"/>
      <c r="F226" s="23"/>
      <c r="G226" s="23"/>
      <c r="H226" s="28"/>
      <c r="I226" s="28">
        <f t="shared" si="30"/>
        <v>0</v>
      </c>
      <c r="J226" s="29"/>
      <c r="K226" s="29">
        <f t="shared" si="31"/>
        <v>0</v>
      </c>
    </row>
    <row r="227" spans="1:12" ht="14.25" hidden="1" customHeight="1">
      <c r="A227" s="23"/>
      <c r="B227" s="23"/>
      <c r="C227" s="23"/>
      <c r="D227" s="23"/>
      <c r="E227" s="23"/>
      <c r="F227" s="23"/>
      <c r="G227" s="23"/>
      <c r="H227" s="28"/>
      <c r="I227" s="28">
        <f t="shared" si="30"/>
        <v>0</v>
      </c>
      <c r="J227" s="29"/>
      <c r="K227" s="29">
        <f t="shared" si="31"/>
        <v>0</v>
      </c>
    </row>
    <row r="228" spans="1:12" ht="14.25" customHeight="1">
      <c r="A228" s="103" t="s">
        <v>508</v>
      </c>
      <c r="B228" s="81" t="s">
        <v>509</v>
      </c>
      <c r="C228" s="81" t="s">
        <v>329</v>
      </c>
      <c r="D228" s="82"/>
      <c r="E228" s="82"/>
      <c r="F228" s="19"/>
      <c r="G228" s="19"/>
      <c r="H228" s="21"/>
      <c r="I228" s="83"/>
      <c r="J228" s="83"/>
      <c r="K228" s="21"/>
    </row>
    <row r="229" spans="1:12" ht="14.25" customHeight="1">
      <c r="A229" s="23" t="s">
        <v>510</v>
      </c>
      <c r="B229" s="23" t="s">
        <v>511</v>
      </c>
      <c r="C229" s="23" t="s">
        <v>512</v>
      </c>
      <c r="D229" s="23" t="s">
        <v>513</v>
      </c>
      <c r="E229" s="62">
        <v>7</v>
      </c>
      <c r="F229" s="26">
        <f t="shared" si="25"/>
        <v>3093.9716312056739</v>
      </c>
      <c r="G229" s="34">
        <f t="shared" si="26"/>
        <v>3712.7659574468084</v>
      </c>
      <c r="H229" s="35">
        <v>34900</v>
      </c>
      <c r="I229" s="36">
        <f t="shared" ref="I229:I282" si="32">H229*1.2</f>
        <v>41880</v>
      </c>
      <c r="J229" s="40">
        <v>53900</v>
      </c>
      <c r="K229" s="56">
        <f t="shared" ref="K229:K282" si="33">J229*1.2</f>
        <v>64680</v>
      </c>
      <c r="L229" s="30">
        <f t="shared" si="29"/>
        <v>0.35250463821892392</v>
      </c>
    </row>
    <row r="230" spans="1:12" ht="14.25" customHeight="1">
      <c r="A230" s="23" t="s">
        <v>514</v>
      </c>
      <c r="B230" s="23" t="s">
        <v>511</v>
      </c>
      <c r="C230" s="23" t="s">
        <v>515</v>
      </c>
      <c r="D230" s="23" t="s">
        <v>516</v>
      </c>
      <c r="E230" s="62">
        <v>12</v>
      </c>
      <c r="F230" s="26">
        <f t="shared" si="25"/>
        <v>5132.978723404256</v>
      </c>
      <c r="G230" s="34">
        <f t="shared" si="26"/>
        <v>6159.5744680851067</v>
      </c>
      <c r="H230" s="42">
        <v>57900</v>
      </c>
      <c r="I230" s="36">
        <f t="shared" si="32"/>
        <v>69480</v>
      </c>
      <c r="J230" s="40">
        <v>89900</v>
      </c>
      <c r="K230" s="56">
        <f t="shared" si="33"/>
        <v>107880</v>
      </c>
      <c r="L230" s="30">
        <f t="shared" si="29"/>
        <v>0.35595105672969968</v>
      </c>
    </row>
    <row r="231" spans="1:12" ht="14.25" customHeight="1">
      <c r="A231" s="106" t="s">
        <v>517</v>
      </c>
      <c r="B231" s="107" t="s">
        <v>518</v>
      </c>
      <c r="C231" s="108" t="s">
        <v>519</v>
      </c>
      <c r="D231" s="106"/>
      <c r="E231" s="106"/>
      <c r="F231" s="106"/>
      <c r="G231" s="106"/>
      <c r="H231" s="106"/>
      <c r="I231" s="106"/>
      <c r="J231" s="106"/>
      <c r="K231" s="106"/>
    </row>
    <row r="232" spans="1:12" ht="14.25" customHeight="1">
      <c r="A232" s="23" t="s">
        <v>520</v>
      </c>
      <c r="B232" s="109">
        <v>2048</v>
      </c>
      <c r="C232" s="110">
        <v>10</v>
      </c>
      <c r="D232" s="31" t="s">
        <v>521</v>
      </c>
      <c r="E232" s="59">
        <v>2.2000000000000002</v>
      </c>
      <c r="F232" s="26">
        <f t="shared" si="25"/>
        <v>9742.9078014184397</v>
      </c>
      <c r="G232" s="34">
        <f t="shared" si="26"/>
        <v>11691.489361702128</v>
      </c>
      <c r="H232" s="35">
        <v>109900</v>
      </c>
      <c r="I232" s="36">
        <f t="shared" si="32"/>
        <v>131880</v>
      </c>
      <c r="J232" s="40">
        <v>169900</v>
      </c>
      <c r="K232" s="56">
        <f t="shared" si="33"/>
        <v>203880</v>
      </c>
      <c r="L232" s="30">
        <f t="shared" si="29"/>
        <v>0.35314891112419072</v>
      </c>
    </row>
    <row r="233" spans="1:12" ht="14.25" customHeight="1">
      <c r="A233" s="23" t="s">
        <v>522</v>
      </c>
      <c r="B233" s="109">
        <v>2048</v>
      </c>
      <c r="C233" s="110">
        <v>6</v>
      </c>
      <c r="D233" s="23" t="s">
        <v>523</v>
      </c>
      <c r="E233" s="59">
        <v>0.9</v>
      </c>
      <c r="F233" s="26">
        <f t="shared" si="25"/>
        <v>2384.7517730496456</v>
      </c>
      <c r="G233" s="34">
        <f t="shared" si="26"/>
        <v>2861.7021276595747</v>
      </c>
      <c r="H233" s="37">
        <v>26900</v>
      </c>
      <c r="I233" s="36">
        <f t="shared" si="32"/>
        <v>32280</v>
      </c>
      <c r="J233" s="29">
        <v>41900</v>
      </c>
      <c r="K233" s="56">
        <f t="shared" si="33"/>
        <v>50280</v>
      </c>
      <c r="L233" s="30">
        <f t="shared" si="29"/>
        <v>0.35799522673031026</v>
      </c>
    </row>
    <row r="234" spans="1:12" ht="14.25" customHeight="1">
      <c r="A234" s="23" t="s">
        <v>524</v>
      </c>
      <c r="B234" s="109">
        <f>65536*2</f>
        <v>131072</v>
      </c>
      <c r="C234" s="110">
        <v>6</v>
      </c>
      <c r="D234" s="23" t="s">
        <v>525</v>
      </c>
      <c r="E234" s="59">
        <v>2.2000000000000002</v>
      </c>
      <c r="F234" s="26">
        <f t="shared" si="25"/>
        <v>8856.3829787234044</v>
      </c>
      <c r="G234" s="34">
        <f t="shared" si="26"/>
        <v>10627.659574468085</v>
      </c>
      <c r="H234" s="37">
        <v>99900</v>
      </c>
      <c r="I234" s="36">
        <f t="shared" si="32"/>
        <v>119880</v>
      </c>
      <c r="J234" s="29">
        <v>153900</v>
      </c>
      <c r="K234" s="56">
        <f t="shared" si="33"/>
        <v>184680</v>
      </c>
      <c r="L234" s="30">
        <f t="shared" si="29"/>
        <v>0.35087719298245612</v>
      </c>
    </row>
    <row r="235" spans="1:12" ht="14.25" customHeight="1">
      <c r="A235" s="23" t="s">
        <v>526</v>
      </c>
      <c r="B235" s="109">
        <v>2048</v>
      </c>
      <c r="C235" s="110">
        <v>15</v>
      </c>
      <c r="D235" s="23" t="s">
        <v>523</v>
      </c>
      <c r="E235" s="59">
        <v>6</v>
      </c>
      <c r="F235" s="26">
        <f t="shared" si="25"/>
        <v>7792.5531914893618</v>
      </c>
      <c r="G235" s="34">
        <f t="shared" si="26"/>
        <v>9351.0638297872338</v>
      </c>
      <c r="H235" s="37">
        <v>87900</v>
      </c>
      <c r="I235" s="36">
        <f t="shared" si="32"/>
        <v>105480</v>
      </c>
      <c r="J235" s="29">
        <v>136900</v>
      </c>
      <c r="K235" s="56">
        <f t="shared" si="33"/>
        <v>164280</v>
      </c>
      <c r="L235" s="30">
        <f t="shared" si="29"/>
        <v>0.35792549306062821</v>
      </c>
    </row>
    <row r="236" spans="1:12" ht="14.25" customHeight="1">
      <c r="A236" s="23" t="s">
        <v>527</v>
      </c>
      <c r="B236" s="109">
        <v>2048</v>
      </c>
      <c r="C236" s="110">
        <v>6</v>
      </c>
      <c r="D236" s="23" t="s">
        <v>523</v>
      </c>
      <c r="E236" s="59">
        <v>8</v>
      </c>
      <c r="F236" s="26">
        <f t="shared" si="25"/>
        <v>8767.7304964539017</v>
      </c>
      <c r="G236" s="34">
        <f t="shared" si="26"/>
        <v>10521.276595744681</v>
      </c>
      <c r="H236" s="37">
        <v>98900</v>
      </c>
      <c r="I236" s="36">
        <f t="shared" si="32"/>
        <v>118680</v>
      </c>
      <c r="J236" s="29">
        <v>152900</v>
      </c>
      <c r="K236" s="56">
        <f t="shared" si="33"/>
        <v>183480</v>
      </c>
      <c r="L236" s="30">
        <f t="shared" si="29"/>
        <v>0.35317200784826686</v>
      </c>
    </row>
    <row r="237" spans="1:12" ht="14.25" customHeight="1">
      <c r="A237" s="25" t="s">
        <v>528</v>
      </c>
      <c r="B237" s="111">
        <v>4096</v>
      </c>
      <c r="C237" s="110">
        <v>6</v>
      </c>
      <c r="D237" s="25" t="s">
        <v>529</v>
      </c>
      <c r="E237" s="59">
        <v>9.1999999999999993</v>
      </c>
      <c r="F237" s="26">
        <f t="shared" si="25"/>
        <v>18253.546099290783</v>
      </c>
      <c r="G237" s="34">
        <f t="shared" si="26"/>
        <v>21904.255319148939</v>
      </c>
      <c r="H237" s="37">
        <v>205900</v>
      </c>
      <c r="I237" s="36">
        <f t="shared" si="32"/>
        <v>247080</v>
      </c>
      <c r="J237" s="29">
        <v>319900</v>
      </c>
      <c r="K237" s="56">
        <f t="shared" si="33"/>
        <v>383880</v>
      </c>
      <c r="L237" s="30">
        <f t="shared" si="29"/>
        <v>0.35636136292591436</v>
      </c>
    </row>
    <row r="238" spans="1:12" ht="14.25" customHeight="1">
      <c r="A238" s="25" t="s">
        <v>530</v>
      </c>
      <c r="B238" s="109">
        <f>65536*2</f>
        <v>131072</v>
      </c>
      <c r="C238" s="110">
        <v>6</v>
      </c>
      <c r="D238" s="25" t="s">
        <v>531</v>
      </c>
      <c r="E238" s="33">
        <v>26</v>
      </c>
      <c r="F238" s="26">
        <f t="shared" si="25"/>
        <v>17455.67375886525</v>
      </c>
      <c r="G238" s="34">
        <f t="shared" si="26"/>
        <v>20946.808510638301</v>
      </c>
      <c r="H238" s="37">
        <v>196900</v>
      </c>
      <c r="I238" s="36">
        <f t="shared" si="32"/>
        <v>236280</v>
      </c>
      <c r="J238" s="29">
        <v>302900</v>
      </c>
      <c r="K238" s="56">
        <f t="shared" si="33"/>
        <v>363480</v>
      </c>
      <c r="L238" s="30">
        <f t="shared" si="29"/>
        <v>0.3499504787058435</v>
      </c>
    </row>
    <row r="239" spans="1:12" ht="14.25" customHeight="1">
      <c r="A239" s="23" t="s">
        <v>532</v>
      </c>
      <c r="B239" s="109">
        <v>2048</v>
      </c>
      <c r="C239" s="110">
        <v>6</v>
      </c>
      <c r="D239" s="50" t="s">
        <v>533</v>
      </c>
      <c r="E239" s="59">
        <v>9.5</v>
      </c>
      <c r="F239" s="26">
        <f t="shared" si="25"/>
        <v>20824.468085106386</v>
      </c>
      <c r="G239" s="34">
        <f t="shared" si="26"/>
        <v>24989.361702127662</v>
      </c>
      <c r="H239" s="37">
        <v>234900</v>
      </c>
      <c r="I239" s="36">
        <f t="shared" si="32"/>
        <v>281880</v>
      </c>
      <c r="J239" s="29">
        <v>361900</v>
      </c>
      <c r="K239" s="56">
        <f t="shared" si="33"/>
        <v>434280</v>
      </c>
      <c r="L239" s="30">
        <f t="shared" si="29"/>
        <v>0.35092567007460623</v>
      </c>
    </row>
    <row r="240" spans="1:12" ht="14.25" customHeight="1">
      <c r="A240" s="23" t="s">
        <v>534</v>
      </c>
      <c r="B240" s="109">
        <v>4096</v>
      </c>
      <c r="C240" s="110">
        <v>15</v>
      </c>
      <c r="D240" s="50" t="s">
        <v>533</v>
      </c>
      <c r="E240" s="59">
        <v>19</v>
      </c>
      <c r="F240" s="26">
        <f t="shared" si="25"/>
        <v>30398.936170212768</v>
      </c>
      <c r="G240" s="34">
        <f t="shared" si="26"/>
        <v>36478.723404255317</v>
      </c>
      <c r="H240" s="37">
        <v>342900</v>
      </c>
      <c r="I240" s="36">
        <f t="shared" si="32"/>
        <v>411480</v>
      </c>
      <c r="J240" s="29">
        <v>529900</v>
      </c>
      <c r="K240" s="56">
        <f t="shared" si="33"/>
        <v>635880</v>
      </c>
      <c r="L240" s="30">
        <f t="shared" si="29"/>
        <v>0.35289677297603322</v>
      </c>
    </row>
    <row r="241" spans="1:12" ht="14.25" customHeight="1">
      <c r="A241" s="23" t="s">
        <v>535</v>
      </c>
      <c r="B241" s="109">
        <v>4096</v>
      </c>
      <c r="C241" s="110" t="s">
        <v>536</v>
      </c>
      <c r="D241" s="23" t="s">
        <v>537</v>
      </c>
      <c r="E241" s="59">
        <v>42</v>
      </c>
      <c r="F241" s="26">
        <f t="shared" si="25"/>
        <v>90948.581560283696</v>
      </c>
      <c r="G241" s="34">
        <f t="shared" si="26"/>
        <v>109138.29787234044</v>
      </c>
      <c r="H241" s="37">
        <v>1025900</v>
      </c>
      <c r="I241" s="36">
        <f t="shared" si="32"/>
        <v>1231080</v>
      </c>
      <c r="J241" s="29">
        <v>1579900</v>
      </c>
      <c r="K241" s="56">
        <f t="shared" si="33"/>
        <v>1895880</v>
      </c>
      <c r="L241" s="30">
        <f t="shared" si="29"/>
        <v>0.3506551047534654</v>
      </c>
    </row>
    <row r="242" spans="1:12" ht="14.25" customHeight="1">
      <c r="A242" s="23" t="s">
        <v>538</v>
      </c>
      <c r="B242" s="109">
        <v>8192</v>
      </c>
      <c r="C242" s="110" t="s">
        <v>539</v>
      </c>
      <c r="D242" s="23" t="s">
        <v>537</v>
      </c>
      <c r="E242" s="33">
        <v>55</v>
      </c>
      <c r="F242" s="26">
        <f t="shared" si="25"/>
        <v>134122.34042553193</v>
      </c>
      <c r="G242" s="34">
        <f t="shared" si="26"/>
        <v>160946.80851063831</v>
      </c>
      <c r="H242" s="37">
        <v>1512900</v>
      </c>
      <c r="I242" s="36">
        <f t="shared" si="32"/>
        <v>1815480</v>
      </c>
      <c r="J242" s="40">
        <v>2339900</v>
      </c>
      <c r="K242" s="56">
        <f t="shared" si="33"/>
        <v>2807880</v>
      </c>
      <c r="L242" s="30">
        <f t="shared" si="29"/>
        <v>0.35343390743194153</v>
      </c>
    </row>
    <row r="243" spans="1:12" ht="14.25" customHeight="1">
      <c r="A243" s="23" t="s">
        <v>540</v>
      </c>
      <c r="B243" s="109">
        <v>4096</v>
      </c>
      <c r="C243" s="110"/>
      <c r="D243" s="23" t="s">
        <v>541</v>
      </c>
      <c r="E243" s="33">
        <v>9</v>
      </c>
      <c r="F243" s="26">
        <f t="shared" si="25"/>
        <v>16303.191489361703</v>
      </c>
      <c r="G243" s="34">
        <f t="shared" si="26"/>
        <v>19563.829787234044</v>
      </c>
      <c r="H243" s="37">
        <v>183900</v>
      </c>
      <c r="I243" s="36">
        <f t="shared" si="32"/>
        <v>220680</v>
      </c>
      <c r="J243" s="40">
        <v>286900</v>
      </c>
      <c r="K243" s="56">
        <f t="shared" si="33"/>
        <v>344280</v>
      </c>
      <c r="L243" s="30">
        <f t="shared" si="29"/>
        <v>0.3590101080515859</v>
      </c>
    </row>
    <row r="244" spans="1:12" ht="14.25" customHeight="1">
      <c r="A244" s="23" t="s">
        <v>542</v>
      </c>
      <c r="B244" s="109" t="s">
        <v>386</v>
      </c>
      <c r="C244" s="110">
        <v>8</v>
      </c>
      <c r="D244" s="23" t="s">
        <v>543</v>
      </c>
      <c r="E244" s="33">
        <v>1</v>
      </c>
      <c r="F244" s="26">
        <f t="shared" si="25"/>
        <v>664.89361702127667</v>
      </c>
      <c r="G244" s="34">
        <f t="shared" si="26"/>
        <v>797.872340425532</v>
      </c>
      <c r="H244" s="37">
        <v>7500</v>
      </c>
      <c r="I244" s="36">
        <f t="shared" si="32"/>
        <v>9000</v>
      </c>
      <c r="J244" s="40">
        <v>11500</v>
      </c>
      <c r="K244" s="56">
        <f t="shared" si="33"/>
        <v>13800</v>
      </c>
      <c r="L244" s="30">
        <f t="shared" si="29"/>
        <v>0.34782608695652173</v>
      </c>
    </row>
    <row r="245" spans="1:12" ht="14.25" customHeight="1">
      <c r="A245" s="23" t="s">
        <v>544</v>
      </c>
      <c r="B245" s="109" t="s">
        <v>386</v>
      </c>
      <c r="C245" s="110">
        <v>8</v>
      </c>
      <c r="D245" s="23" t="s">
        <v>545</v>
      </c>
      <c r="E245" s="33">
        <v>1</v>
      </c>
      <c r="F245" s="26">
        <f t="shared" si="25"/>
        <v>966.3120567375887</v>
      </c>
      <c r="G245" s="34">
        <f t="shared" si="26"/>
        <v>1159.5744680851064</v>
      </c>
      <c r="H245" s="37">
        <v>10900</v>
      </c>
      <c r="I245" s="36">
        <f t="shared" si="32"/>
        <v>13080</v>
      </c>
      <c r="J245" s="40">
        <v>16900</v>
      </c>
      <c r="K245" s="56">
        <f t="shared" si="33"/>
        <v>20280</v>
      </c>
      <c r="L245" s="30">
        <f t="shared" si="29"/>
        <v>0.35502958579881655</v>
      </c>
    </row>
    <row r="246" spans="1:12" ht="14.25" customHeight="1">
      <c r="A246" s="23" t="s">
        <v>546</v>
      </c>
      <c r="B246" s="109" t="s">
        <v>386</v>
      </c>
      <c r="C246" s="110">
        <v>8</v>
      </c>
      <c r="D246" s="23" t="s">
        <v>547</v>
      </c>
      <c r="E246" s="33">
        <v>1</v>
      </c>
      <c r="F246" s="26">
        <f t="shared" si="25"/>
        <v>1143.6170212765958</v>
      </c>
      <c r="G246" s="34">
        <f t="shared" si="26"/>
        <v>1372.3404255319149</v>
      </c>
      <c r="H246" s="42">
        <v>12900</v>
      </c>
      <c r="I246" s="36">
        <f t="shared" si="32"/>
        <v>15480</v>
      </c>
      <c r="J246" s="40">
        <v>19900</v>
      </c>
      <c r="K246" s="56">
        <f t="shared" si="33"/>
        <v>23880</v>
      </c>
      <c r="L246" s="30">
        <f t="shared" si="29"/>
        <v>0.35175879396984927</v>
      </c>
    </row>
    <row r="247" spans="1:12" ht="14.25" customHeight="1">
      <c r="A247" s="137" t="s">
        <v>548</v>
      </c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</row>
    <row r="248" spans="1:12" ht="14.25" customHeight="1">
      <c r="A248" s="18" t="s">
        <v>549</v>
      </c>
      <c r="B248" s="104" t="s">
        <v>550</v>
      </c>
      <c r="C248" s="104" t="s">
        <v>180</v>
      </c>
      <c r="D248" s="19"/>
      <c r="E248" s="19"/>
      <c r="F248" s="19"/>
      <c r="G248" s="19"/>
      <c r="H248" s="21"/>
      <c r="I248" s="21"/>
      <c r="J248" s="21"/>
      <c r="K248" s="21"/>
    </row>
    <row r="249" spans="1:12" ht="14.25" customHeight="1">
      <c r="A249" s="23" t="s">
        <v>551</v>
      </c>
      <c r="B249" s="4">
        <v>4</v>
      </c>
      <c r="C249" s="23" t="s">
        <v>552</v>
      </c>
      <c r="D249" s="23"/>
      <c r="E249" s="59">
        <v>1.5</v>
      </c>
      <c r="F249" s="26">
        <f t="shared" si="25"/>
        <v>966.3120567375887</v>
      </c>
      <c r="G249" s="34">
        <f t="shared" si="26"/>
        <v>1159.5744680851064</v>
      </c>
      <c r="H249" s="35">
        <v>10900</v>
      </c>
      <c r="I249" s="36">
        <f t="shared" si="32"/>
        <v>13080</v>
      </c>
      <c r="J249" s="40">
        <v>16900</v>
      </c>
      <c r="K249" s="56">
        <f t="shared" si="33"/>
        <v>20280</v>
      </c>
      <c r="L249" s="30">
        <f t="shared" si="29"/>
        <v>0.35502958579881655</v>
      </c>
    </row>
    <row r="250" spans="1:12" ht="14.25" customHeight="1">
      <c r="A250" s="23" t="s">
        <v>553</v>
      </c>
      <c r="B250" s="4">
        <v>6</v>
      </c>
      <c r="C250" s="23" t="s">
        <v>554</v>
      </c>
      <c r="D250" s="23" t="s">
        <v>555</v>
      </c>
      <c r="E250" s="59">
        <v>0.9</v>
      </c>
      <c r="F250" s="26">
        <f t="shared" si="25"/>
        <v>2030.1418439716313</v>
      </c>
      <c r="G250" s="34">
        <f t="shared" si="26"/>
        <v>2436.1702127659573</v>
      </c>
      <c r="H250" s="37">
        <v>22900</v>
      </c>
      <c r="I250" s="36">
        <f t="shared" si="32"/>
        <v>27480</v>
      </c>
      <c r="J250" s="40">
        <v>35900</v>
      </c>
      <c r="K250" s="56">
        <f t="shared" si="33"/>
        <v>43080</v>
      </c>
      <c r="L250" s="30">
        <f t="shared" si="29"/>
        <v>0.36211699164345401</v>
      </c>
    </row>
    <row r="251" spans="1:12" ht="14.25" customHeight="1">
      <c r="A251" s="25" t="s">
        <v>556</v>
      </c>
      <c r="B251" s="5">
        <v>8</v>
      </c>
      <c r="C251" s="25" t="s">
        <v>552</v>
      </c>
      <c r="D251" s="25" t="s">
        <v>557</v>
      </c>
      <c r="E251" s="33">
        <v>2.4</v>
      </c>
      <c r="F251" s="26">
        <f t="shared" si="25"/>
        <v>1143.6170212765958</v>
      </c>
      <c r="G251" s="34">
        <f t="shared" si="26"/>
        <v>1372.3404255319149</v>
      </c>
      <c r="H251" s="37">
        <v>12900</v>
      </c>
      <c r="I251" s="36">
        <f t="shared" si="32"/>
        <v>15480</v>
      </c>
      <c r="J251" s="40">
        <v>19900</v>
      </c>
      <c r="K251" s="56">
        <f t="shared" si="33"/>
        <v>23880</v>
      </c>
      <c r="L251" s="30">
        <f t="shared" si="29"/>
        <v>0.35175879396984927</v>
      </c>
    </row>
    <row r="252" spans="1:12" ht="14.25" customHeight="1">
      <c r="A252" s="23" t="s">
        <v>558</v>
      </c>
      <c r="B252" s="4">
        <v>8</v>
      </c>
      <c r="C252" s="23" t="s">
        <v>554</v>
      </c>
      <c r="D252" s="23" t="s">
        <v>557</v>
      </c>
      <c r="E252" s="59">
        <v>2</v>
      </c>
      <c r="F252" s="26">
        <f t="shared" si="25"/>
        <v>1941.4893617021278</v>
      </c>
      <c r="G252" s="34">
        <f t="shared" si="26"/>
        <v>2329.7872340425533</v>
      </c>
      <c r="H252" s="37">
        <v>21900</v>
      </c>
      <c r="I252" s="36">
        <f t="shared" si="32"/>
        <v>26280</v>
      </c>
      <c r="J252" s="40">
        <v>33900</v>
      </c>
      <c r="K252" s="56">
        <f t="shared" si="33"/>
        <v>40680</v>
      </c>
      <c r="L252" s="30">
        <f t="shared" si="29"/>
        <v>0.35398230088495575</v>
      </c>
    </row>
    <row r="253" spans="1:12" ht="14.25" customHeight="1">
      <c r="A253" s="112" t="s">
        <v>559</v>
      </c>
      <c r="B253" s="4">
        <v>8</v>
      </c>
      <c r="C253" s="23" t="s">
        <v>554</v>
      </c>
      <c r="D253" s="23" t="s">
        <v>560</v>
      </c>
      <c r="E253" s="33">
        <v>3</v>
      </c>
      <c r="F253" s="26">
        <f t="shared" si="25"/>
        <v>4069.1489361702129</v>
      </c>
      <c r="G253" s="34">
        <f t="shared" si="26"/>
        <v>4882.9787234042551</v>
      </c>
      <c r="H253" s="42">
        <v>45900</v>
      </c>
      <c r="I253" s="36">
        <f t="shared" si="32"/>
        <v>55080</v>
      </c>
      <c r="J253" s="40">
        <v>70900</v>
      </c>
      <c r="K253" s="56">
        <f t="shared" si="33"/>
        <v>85080</v>
      </c>
      <c r="L253" s="30">
        <f t="shared" si="29"/>
        <v>0.35260930888575459</v>
      </c>
    </row>
    <row r="254" spans="1:12" ht="14.25" customHeight="1">
      <c r="A254" s="18" t="s">
        <v>561</v>
      </c>
      <c r="B254" s="19"/>
      <c r="C254" s="19"/>
      <c r="D254" s="19"/>
      <c r="E254" s="19"/>
      <c r="F254" s="19"/>
      <c r="G254" s="19"/>
      <c r="H254" s="21"/>
      <c r="I254" s="21"/>
      <c r="J254" s="21"/>
      <c r="K254" s="21"/>
    </row>
    <row r="255" spans="1:12" ht="14.25" customHeight="1">
      <c r="A255" s="23" t="s">
        <v>562</v>
      </c>
      <c r="B255" s="23"/>
      <c r="C255" s="23"/>
      <c r="D255" s="23" t="s">
        <v>563</v>
      </c>
      <c r="E255" s="113">
        <v>0.3</v>
      </c>
      <c r="F255" s="26">
        <f t="shared" si="25"/>
        <v>2118.794326241135</v>
      </c>
      <c r="G255" s="34">
        <f t="shared" si="26"/>
        <v>2542.5531914893618</v>
      </c>
      <c r="H255" s="68">
        <v>23900</v>
      </c>
      <c r="I255" s="36">
        <f t="shared" si="32"/>
        <v>28680</v>
      </c>
      <c r="J255" s="40">
        <v>36900</v>
      </c>
      <c r="K255" s="56">
        <f t="shared" si="33"/>
        <v>44280</v>
      </c>
      <c r="L255" s="30">
        <f t="shared" si="29"/>
        <v>0.35230352303523033</v>
      </c>
    </row>
    <row r="256" spans="1:12" ht="14.25" customHeight="1">
      <c r="A256" s="18" t="s">
        <v>564</v>
      </c>
      <c r="B256" s="81" t="s">
        <v>565</v>
      </c>
      <c r="C256" s="81" t="s">
        <v>566</v>
      </c>
      <c r="D256" s="19"/>
      <c r="E256" s="19"/>
      <c r="F256" s="19"/>
      <c r="G256" s="19"/>
      <c r="H256" s="21"/>
      <c r="I256" s="21"/>
      <c r="J256" s="21"/>
      <c r="K256" s="21"/>
    </row>
    <row r="257" spans="1:13" ht="14.25" customHeight="1">
      <c r="A257" s="23" t="s">
        <v>567</v>
      </c>
      <c r="B257" s="4">
        <v>0.34</v>
      </c>
      <c r="C257" s="4">
        <v>2</v>
      </c>
      <c r="D257" s="23" t="s">
        <v>568</v>
      </c>
      <c r="E257" s="62"/>
      <c r="F257" s="26">
        <f t="shared" si="25"/>
        <v>14.9822695035461</v>
      </c>
      <c r="G257" s="34">
        <f t="shared" si="26"/>
        <v>17.978723404255319</v>
      </c>
      <c r="H257" s="35">
        <v>169</v>
      </c>
      <c r="I257" s="36">
        <f t="shared" si="32"/>
        <v>202.79999999999998</v>
      </c>
      <c r="J257" s="40">
        <v>260</v>
      </c>
      <c r="K257" s="56">
        <f t="shared" si="33"/>
        <v>312</v>
      </c>
      <c r="L257" s="30">
        <f t="shared" si="29"/>
        <v>0.35</v>
      </c>
      <c r="M257" s="114"/>
    </row>
    <row r="258" spans="1:13" ht="14.25" customHeight="1">
      <c r="A258" s="23" t="s">
        <v>569</v>
      </c>
      <c r="B258" s="4">
        <v>0.25</v>
      </c>
      <c r="C258" s="4">
        <v>2</v>
      </c>
      <c r="D258" s="23" t="s">
        <v>568</v>
      </c>
      <c r="E258" s="62"/>
      <c r="F258" s="26">
        <f t="shared" si="25"/>
        <v>14.095744680851064</v>
      </c>
      <c r="G258" s="34">
        <f t="shared" si="26"/>
        <v>16.914893617021278</v>
      </c>
      <c r="H258" s="37">
        <v>159</v>
      </c>
      <c r="I258" s="36">
        <f t="shared" si="32"/>
        <v>190.79999999999998</v>
      </c>
      <c r="J258" s="29">
        <v>245</v>
      </c>
      <c r="K258" s="56">
        <f t="shared" si="33"/>
        <v>294</v>
      </c>
      <c r="L258" s="30">
        <f t="shared" si="29"/>
        <v>0.3510204081632653</v>
      </c>
    </row>
    <row r="259" spans="1:13" ht="14.25" customHeight="1">
      <c r="A259" s="23" t="s">
        <v>570</v>
      </c>
      <c r="B259" s="115">
        <v>0.3</v>
      </c>
      <c r="C259" s="4">
        <v>2</v>
      </c>
      <c r="D259" s="31" t="s">
        <v>571</v>
      </c>
      <c r="E259" s="62"/>
      <c r="F259" s="26">
        <f t="shared" si="25"/>
        <v>8.7765957446808507</v>
      </c>
      <c r="G259" s="34">
        <f t="shared" si="26"/>
        <v>10.531914893617021</v>
      </c>
      <c r="H259" s="42">
        <v>99</v>
      </c>
      <c r="I259" s="36">
        <f t="shared" si="32"/>
        <v>118.8</v>
      </c>
      <c r="J259" s="29">
        <v>154</v>
      </c>
      <c r="K259" s="56">
        <f t="shared" si="33"/>
        <v>184.79999999999998</v>
      </c>
      <c r="L259" s="30">
        <f t="shared" si="29"/>
        <v>0.35714285714285715</v>
      </c>
    </row>
    <row r="260" spans="1:13" ht="14.25" customHeight="1">
      <c r="A260" s="18" t="s">
        <v>572</v>
      </c>
      <c r="B260" s="19"/>
      <c r="C260" s="19"/>
      <c r="D260" s="19"/>
      <c r="E260" s="19"/>
      <c r="F260" s="19"/>
      <c r="G260" s="19"/>
      <c r="H260" s="21"/>
      <c r="I260" s="21"/>
      <c r="J260" s="21"/>
      <c r="K260" s="84"/>
    </row>
    <row r="261" spans="1:13" ht="14.25" customHeight="1">
      <c r="A261" s="116" t="s">
        <v>573</v>
      </c>
      <c r="B261" s="117"/>
      <c r="C261" s="117"/>
      <c r="D261" s="117" t="s">
        <v>574</v>
      </c>
      <c r="E261" s="118"/>
      <c r="F261" s="26">
        <f t="shared" si="25"/>
        <v>16.400709219858157</v>
      </c>
      <c r="G261" s="34">
        <f t="shared" si="26"/>
        <v>19.680851063829788</v>
      </c>
      <c r="H261" s="68">
        <f t="shared" ref="H261:H264" si="34">370/2</f>
        <v>185</v>
      </c>
      <c r="I261" s="119">
        <f t="shared" si="32"/>
        <v>222</v>
      </c>
      <c r="J261" s="120">
        <v>285</v>
      </c>
      <c r="K261" s="56">
        <f t="shared" si="33"/>
        <v>342</v>
      </c>
      <c r="L261" s="30">
        <f t="shared" si="29"/>
        <v>0.35087719298245612</v>
      </c>
      <c r="M261" s="114"/>
    </row>
    <row r="262" spans="1:13" ht="14.25" customHeight="1">
      <c r="A262" s="121" t="s">
        <v>575</v>
      </c>
      <c r="B262" s="122"/>
      <c r="C262" s="122"/>
      <c r="D262" s="122" t="s">
        <v>574</v>
      </c>
      <c r="E262" s="123"/>
      <c r="F262" s="26">
        <f t="shared" si="25"/>
        <v>16.400709219858157</v>
      </c>
      <c r="G262" s="34">
        <f t="shared" si="26"/>
        <v>19.680851063829788</v>
      </c>
      <c r="H262" s="124">
        <f t="shared" si="34"/>
        <v>185</v>
      </c>
      <c r="I262" s="125">
        <f t="shared" si="32"/>
        <v>222</v>
      </c>
      <c r="J262" s="126">
        <v>285</v>
      </c>
      <c r="K262" s="56">
        <f t="shared" si="33"/>
        <v>342</v>
      </c>
      <c r="L262" s="30">
        <f t="shared" si="29"/>
        <v>0.35087719298245612</v>
      </c>
    </row>
    <row r="263" spans="1:13" ht="14.25" customHeight="1">
      <c r="A263" s="127" t="s">
        <v>576</v>
      </c>
      <c r="B263" s="128"/>
      <c r="C263" s="128"/>
      <c r="D263" s="128" t="s">
        <v>574</v>
      </c>
      <c r="E263" s="129"/>
      <c r="F263" s="26">
        <f t="shared" si="25"/>
        <v>16.400709219858157</v>
      </c>
      <c r="G263" s="34">
        <f t="shared" si="26"/>
        <v>19.680851063829788</v>
      </c>
      <c r="H263" s="35">
        <f t="shared" si="34"/>
        <v>185</v>
      </c>
      <c r="I263" s="130">
        <f t="shared" si="32"/>
        <v>222</v>
      </c>
      <c r="J263" s="131">
        <v>285</v>
      </c>
      <c r="K263" s="56">
        <f t="shared" si="33"/>
        <v>342</v>
      </c>
      <c r="L263" s="30">
        <f t="shared" si="29"/>
        <v>0.35087719298245612</v>
      </c>
    </row>
    <row r="264" spans="1:13" ht="14.25" customHeight="1">
      <c r="A264" s="132" t="s">
        <v>577</v>
      </c>
      <c r="B264" s="133"/>
      <c r="C264" s="133"/>
      <c r="D264" s="133" t="s">
        <v>574</v>
      </c>
      <c r="E264" s="134"/>
      <c r="F264" s="26">
        <f t="shared" si="25"/>
        <v>16.400709219858157</v>
      </c>
      <c r="G264" s="34">
        <f t="shared" si="26"/>
        <v>19.680851063829788</v>
      </c>
      <c r="H264" s="42">
        <f t="shared" si="34"/>
        <v>185</v>
      </c>
      <c r="I264" s="135">
        <f t="shared" si="32"/>
        <v>222</v>
      </c>
      <c r="J264" s="136">
        <v>285</v>
      </c>
      <c r="K264" s="56">
        <f t="shared" si="33"/>
        <v>342</v>
      </c>
      <c r="L264" s="30">
        <f t="shared" si="29"/>
        <v>0.35087719298245612</v>
      </c>
    </row>
    <row r="265" spans="1:13" ht="14.25" customHeight="1">
      <c r="A265" s="137" t="s">
        <v>578</v>
      </c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</row>
    <row r="266" spans="1:13" ht="14.25" customHeight="1">
      <c r="A266" s="103" t="s">
        <v>579</v>
      </c>
      <c r="B266" s="81" t="s">
        <v>580</v>
      </c>
      <c r="C266" s="81" t="s">
        <v>581</v>
      </c>
      <c r="D266" s="82"/>
      <c r="E266" s="82"/>
      <c r="F266" s="19"/>
      <c r="G266" s="19"/>
      <c r="H266" s="21"/>
      <c r="I266" s="83"/>
      <c r="J266" s="83"/>
      <c r="K266" s="84"/>
    </row>
    <row r="267" spans="1:13" ht="14.25" customHeight="1">
      <c r="A267" s="23" t="s">
        <v>582</v>
      </c>
      <c r="B267" s="23" t="s">
        <v>583</v>
      </c>
      <c r="C267" s="23" t="s">
        <v>584</v>
      </c>
      <c r="D267" s="23" t="s">
        <v>585</v>
      </c>
      <c r="E267" s="62">
        <v>0.26</v>
      </c>
      <c r="F267" s="26">
        <f t="shared" si="25"/>
        <v>67.287234042553195</v>
      </c>
      <c r="G267" s="34">
        <f t="shared" si="26"/>
        <v>80.744680851063833</v>
      </c>
      <c r="H267" s="35">
        <v>759</v>
      </c>
      <c r="I267" s="36">
        <f t="shared" si="32"/>
        <v>910.8</v>
      </c>
      <c r="J267" s="58">
        <v>1199</v>
      </c>
      <c r="K267" s="56">
        <f t="shared" si="33"/>
        <v>1438.8</v>
      </c>
      <c r="L267" s="30">
        <f t="shared" si="29"/>
        <v>0.3669724770642202</v>
      </c>
    </row>
    <row r="268" spans="1:13" ht="14.25" customHeight="1">
      <c r="A268" s="23" t="s">
        <v>586</v>
      </c>
      <c r="B268" s="23" t="s">
        <v>587</v>
      </c>
      <c r="C268" s="23" t="s">
        <v>588</v>
      </c>
      <c r="D268" s="23" t="s">
        <v>585</v>
      </c>
      <c r="E268" s="62">
        <v>0.28000000000000003</v>
      </c>
      <c r="F268" s="26">
        <f t="shared" si="25"/>
        <v>74.379432624113477</v>
      </c>
      <c r="G268" s="34">
        <f t="shared" si="26"/>
        <v>89.255319148936167</v>
      </c>
      <c r="H268" s="37">
        <v>839</v>
      </c>
      <c r="I268" s="36">
        <f t="shared" si="32"/>
        <v>1006.8</v>
      </c>
      <c r="J268" s="58">
        <v>1299</v>
      </c>
      <c r="K268" s="56">
        <f t="shared" si="33"/>
        <v>1558.8</v>
      </c>
      <c r="L268" s="30">
        <f t="shared" si="29"/>
        <v>0.35411855273287146</v>
      </c>
    </row>
    <row r="269" spans="1:13" ht="14.25" customHeight="1">
      <c r="A269" s="23" t="s">
        <v>589</v>
      </c>
      <c r="B269" s="23" t="s">
        <v>590</v>
      </c>
      <c r="C269" s="23" t="s">
        <v>588</v>
      </c>
      <c r="D269" s="23" t="s">
        <v>591</v>
      </c>
      <c r="E269" s="62">
        <v>0.17</v>
      </c>
      <c r="F269" s="26">
        <f t="shared" si="25"/>
        <v>45.12411347517731</v>
      </c>
      <c r="G269" s="34">
        <f t="shared" si="26"/>
        <v>54.148936170212771</v>
      </c>
      <c r="H269" s="37">
        <v>509</v>
      </c>
      <c r="I269" s="36">
        <f t="shared" si="32"/>
        <v>610.79999999999995</v>
      </c>
      <c r="J269" s="58">
        <v>789</v>
      </c>
      <c r="K269" s="56">
        <f t="shared" si="33"/>
        <v>946.8</v>
      </c>
      <c r="L269" s="30">
        <f t="shared" si="29"/>
        <v>0.35487959442332068</v>
      </c>
    </row>
    <row r="270" spans="1:13" ht="14.25" customHeight="1">
      <c r="A270" s="23" t="s">
        <v>592</v>
      </c>
      <c r="B270" s="23" t="s">
        <v>593</v>
      </c>
      <c r="C270" s="23" t="s">
        <v>594</v>
      </c>
      <c r="D270" s="23" t="s">
        <v>591</v>
      </c>
      <c r="E270" s="62">
        <v>0.28999999999999998</v>
      </c>
      <c r="F270" s="26">
        <f t="shared" si="25"/>
        <v>70.833333333333343</v>
      </c>
      <c r="G270" s="34">
        <f t="shared" si="26"/>
        <v>85.000000000000014</v>
      </c>
      <c r="H270" s="37">
        <v>799</v>
      </c>
      <c r="I270" s="36">
        <f t="shared" si="32"/>
        <v>958.8</v>
      </c>
      <c r="J270" s="58">
        <v>1229</v>
      </c>
      <c r="K270" s="56">
        <f t="shared" si="33"/>
        <v>1474.8</v>
      </c>
      <c r="L270" s="30">
        <f t="shared" si="29"/>
        <v>0.34987794955248169</v>
      </c>
    </row>
    <row r="271" spans="1:13" ht="14.25" customHeight="1">
      <c r="A271" s="23" t="s">
        <v>595</v>
      </c>
      <c r="B271" s="23" t="s">
        <v>596</v>
      </c>
      <c r="C271" s="23" t="s">
        <v>597</v>
      </c>
      <c r="D271" s="23" t="s">
        <v>585</v>
      </c>
      <c r="E271" s="62">
        <v>0.32</v>
      </c>
      <c r="F271" s="26">
        <f t="shared" si="25"/>
        <v>79.698581560283699</v>
      </c>
      <c r="G271" s="34">
        <f t="shared" si="26"/>
        <v>95.638297872340431</v>
      </c>
      <c r="H271" s="37">
        <v>899</v>
      </c>
      <c r="I271" s="36">
        <f t="shared" si="32"/>
        <v>1078.8</v>
      </c>
      <c r="J271" s="58">
        <v>1399</v>
      </c>
      <c r="K271" s="56">
        <f t="shared" si="33"/>
        <v>1678.8</v>
      </c>
      <c r="L271" s="30">
        <f t="shared" si="29"/>
        <v>0.35739814152966404</v>
      </c>
    </row>
    <row r="272" spans="1:13" ht="14.25" customHeight="1">
      <c r="A272" s="23" t="s">
        <v>598</v>
      </c>
      <c r="B272" s="23" t="s">
        <v>599</v>
      </c>
      <c r="C272" s="23" t="s">
        <v>600</v>
      </c>
      <c r="D272" s="23" t="s">
        <v>591</v>
      </c>
      <c r="E272" s="62">
        <v>0.25</v>
      </c>
      <c r="F272" s="26">
        <f t="shared" ref="F272:F282" si="35">H272/$F$2</f>
        <v>52.216312056737593</v>
      </c>
      <c r="G272" s="34">
        <f t="shared" si="26"/>
        <v>62.659574468085111</v>
      </c>
      <c r="H272" s="37">
        <v>589</v>
      </c>
      <c r="I272" s="36">
        <f t="shared" si="32"/>
        <v>706.8</v>
      </c>
      <c r="J272" s="58">
        <v>909</v>
      </c>
      <c r="K272" s="56">
        <f t="shared" si="33"/>
        <v>1090.8</v>
      </c>
      <c r="L272" s="30">
        <f t="shared" si="29"/>
        <v>0.35203520352035206</v>
      </c>
    </row>
    <row r="273" spans="1:12" ht="14.25" customHeight="1">
      <c r="A273" s="23" t="s">
        <v>601</v>
      </c>
      <c r="B273" s="23" t="s">
        <v>602</v>
      </c>
      <c r="C273" s="23" t="s">
        <v>603</v>
      </c>
      <c r="D273" s="23" t="s">
        <v>591</v>
      </c>
      <c r="E273" s="62">
        <v>0.43</v>
      </c>
      <c r="F273" s="26">
        <f t="shared" si="35"/>
        <v>165.69148936170214</v>
      </c>
      <c r="G273" s="34">
        <f t="shared" si="26"/>
        <v>198.82978723404256</v>
      </c>
      <c r="H273" s="37">
        <v>1869</v>
      </c>
      <c r="I273" s="36">
        <f t="shared" si="32"/>
        <v>2242.7999999999997</v>
      </c>
      <c r="J273" s="58">
        <v>2899</v>
      </c>
      <c r="K273" s="56">
        <f t="shared" si="33"/>
        <v>3478.7999999999997</v>
      </c>
      <c r="L273" s="30">
        <f t="shared" si="29"/>
        <v>0.35529492928596068</v>
      </c>
    </row>
    <row r="274" spans="1:12" ht="14.25" customHeight="1">
      <c r="A274" s="23" t="s">
        <v>604</v>
      </c>
      <c r="B274" s="23" t="s">
        <v>605</v>
      </c>
      <c r="C274" s="23" t="s">
        <v>588</v>
      </c>
      <c r="D274" s="23" t="s">
        <v>585</v>
      </c>
      <c r="E274" s="62">
        <v>0.2</v>
      </c>
      <c r="F274" s="26">
        <f t="shared" si="35"/>
        <v>64.627659574468083</v>
      </c>
      <c r="G274" s="34">
        <f t="shared" ref="G274:G282" si="36">F274*1.2</f>
        <v>77.553191489361694</v>
      </c>
      <c r="H274" s="37">
        <v>729</v>
      </c>
      <c r="I274" s="36">
        <f t="shared" si="32"/>
        <v>874.8</v>
      </c>
      <c r="J274" s="58">
        <v>1129</v>
      </c>
      <c r="K274" s="56">
        <f t="shared" si="33"/>
        <v>1354.8</v>
      </c>
      <c r="L274" s="30">
        <f t="shared" ref="L274:L282" si="37">(J274-H274)/J274</f>
        <v>0.35429583702391498</v>
      </c>
    </row>
    <row r="275" spans="1:12" ht="14.25" customHeight="1">
      <c r="A275" s="23" t="s">
        <v>606</v>
      </c>
      <c r="B275" s="23" t="s">
        <v>583</v>
      </c>
      <c r="C275" s="23" t="s">
        <v>588</v>
      </c>
      <c r="D275" s="23" t="s">
        <v>591</v>
      </c>
      <c r="E275" s="62">
        <v>0.26</v>
      </c>
      <c r="F275" s="26">
        <f t="shared" si="35"/>
        <v>72.606382978723403</v>
      </c>
      <c r="G275" s="34">
        <f t="shared" si="36"/>
        <v>87.127659574468083</v>
      </c>
      <c r="H275" s="37">
        <v>819</v>
      </c>
      <c r="I275" s="36">
        <f t="shared" si="32"/>
        <v>982.8</v>
      </c>
      <c r="J275" s="58">
        <v>1269</v>
      </c>
      <c r="K275" s="56">
        <f t="shared" si="33"/>
        <v>1522.8</v>
      </c>
      <c r="L275" s="30">
        <f t="shared" si="37"/>
        <v>0.3546099290780142</v>
      </c>
    </row>
    <row r="276" spans="1:12" ht="14.25" customHeight="1">
      <c r="A276" s="23" t="s">
        <v>607</v>
      </c>
      <c r="B276" s="23" t="s">
        <v>608</v>
      </c>
      <c r="C276" s="23" t="s">
        <v>588</v>
      </c>
      <c r="D276" s="23" t="s">
        <v>591</v>
      </c>
      <c r="E276" s="62">
        <v>0.2</v>
      </c>
      <c r="F276" s="26">
        <f t="shared" si="35"/>
        <v>64.627659574468083</v>
      </c>
      <c r="G276" s="34">
        <f t="shared" si="36"/>
        <v>77.553191489361694</v>
      </c>
      <c r="H276" s="37">
        <v>729</v>
      </c>
      <c r="I276" s="36">
        <f t="shared" si="32"/>
        <v>874.8</v>
      </c>
      <c r="J276" s="58">
        <v>1129</v>
      </c>
      <c r="K276" s="56">
        <f t="shared" si="33"/>
        <v>1354.8</v>
      </c>
      <c r="L276" s="30">
        <f t="shared" si="37"/>
        <v>0.35429583702391498</v>
      </c>
    </row>
    <row r="277" spans="1:12" ht="14.25" customHeight="1">
      <c r="A277" s="23" t="s">
        <v>609</v>
      </c>
      <c r="B277" s="23" t="s">
        <v>610</v>
      </c>
      <c r="C277" s="23" t="s">
        <v>603</v>
      </c>
      <c r="D277" s="23" t="s">
        <v>611</v>
      </c>
      <c r="E277" s="62">
        <v>0.91</v>
      </c>
      <c r="F277" s="26">
        <f t="shared" si="35"/>
        <v>177.21631205673759</v>
      </c>
      <c r="G277" s="34">
        <f t="shared" si="36"/>
        <v>212.65957446808511</v>
      </c>
      <c r="H277" s="37">
        <v>1999</v>
      </c>
      <c r="I277" s="36">
        <f t="shared" si="32"/>
        <v>2398.7999999999997</v>
      </c>
      <c r="J277" s="58">
        <v>3099</v>
      </c>
      <c r="K277" s="56">
        <f t="shared" si="33"/>
        <v>3718.7999999999997</v>
      </c>
      <c r="L277" s="30">
        <f t="shared" si="37"/>
        <v>0.35495321071313329</v>
      </c>
    </row>
    <row r="278" spans="1:12" ht="14.25" customHeight="1">
      <c r="A278" s="23" t="s">
        <v>612</v>
      </c>
      <c r="B278" s="23" t="s">
        <v>613</v>
      </c>
      <c r="C278" s="23" t="s">
        <v>594</v>
      </c>
      <c r="D278" s="23" t="s">
        <v>614</v>
      </c>
      <c r="E278" s="62">
        <v>0.125</v>
      </c>
      <c r="F278" s="26">
        <f t="shared" si="35"/>
        <v>21.187943262411348</v>
      </c>
      <c r="G278" s="34">
        <f t="shared" si="36"/>
        <v>25.425531914893618</v>
      </c>
      <c r="H278" s="37">
        <v>239</v>
      </c>
      <c r="I278" s="36">
        <f t="shared" si="32"/>
        <v>286.8</v>
      </c>
      <c r="J278" s="58">
        <v>369</v>
      </c>
      <c r="K278" s="56">
        <f t="shared" si="33"/>
        <v>442.8</v>
      </c>
      <c r="L278" s="30">
        <f t="shared" si="37"/>
        <v>0.35230352303523033</v>
      </c>
    </row>
    <row r="279" spans="1:12" ht="14.25" customHeight="1">
      <c r="A279" s="23" t="s">
        <v>615</v>
      </c>
      <c r="B279" s="23" t="s">
        <v>613</v>
      </c>
      <c r="C279" s="23" t="s">
        <v>594</v>
      </c>
      <c r="D279" s="23" t="s">
        <v>614</v>
      </c>
      <c r="E279" s="62">
        <v>0.125</v>
      </c>
      <c r="F279" s="26">
        <f t="shared" si="35"/>
        <v>22.960992907801419</v>
      </c>
      <c r="G279" s="34">
        <f t="shared" si="36"/>
        <v>27.553191489361701</v>
      </c>
      <c r="H279" s="42">
        <v>259</v>
      </c>
      <c r="I279" s="36">
        <f t="shared" si="32"/>
        <v>310.8</v>
      </c>
      <c r="J279" s="58">
        <v>399</v>
      </c>
      <c r="K279" s="56">
        <f t="shared" si="33"/>
        <v>478.79999999999995</v>
      </c>
      <c r="L279" s="30">
        <f t="shared" si="37"/>
        <v>0.35087719298245612</v>
      </c>
    </row>
    <row r="280" spans="1:12" ht="14.25" customHeight="1">
      <c r="A280" s="103" t="s">
        <v>616</v>
      </c>
      <c r="B280" s="81" t="s">
        <v>580</v>
      </c>
      <c r="C280" s="81" t="s">
        <v>617</v>
      </c>
      <c r="D280" s="82"/>
      <c r="E280" s="82"/>
      <c r="F280" s="19"/>
      <c r="G280" s="19"/>
      <c r="H280" s="21"/>
      <c r="I280" s="83"/>
      <c r="J280" s="83"/>
      <c r="K280" s="84"/>
    </row>
    <row r="281" spans="1:12" ht="14.25" customHeight="1">
      <c r="A281" s="23" t="s">
        <v>618</v>
      </c>
      <c r="B281" s="23" t="s">
        <v>619</v>
      </c>
      <c r="C281" s="23" t="s">
        <v>620</v>
      </c>
      <c r="D281" s="23" t="s">
        <v>621</v>
      </c>
      <c r="E281" s="62">
        <v>0.2</v>
      </c>
      <c r="F281" s="26">
        <f t="shared" si="35"/>
        <v>28.723404255319149</v>
      </c>
      <c r="G281" s="34">
        <f t="shared" si="36"/>
        <v>34.468085106382979</v>
      </c>
      <c r="H281" s="35">
        <v>324</v>
      </c>
      <c r="I281" s="36">
        <f t="shared" si="32"/>
        <v>388.8</v>
      </c>
      <c r="J281" s="58">
        <v>499</v>
      </c>
      <c r="K281" s="56">
        <f t="shared" si="33"/>
        <v>598.79999999999995</v>
      </c>
      <c r="L281" s="30">
        <f t="shared" si="37"/>
        <v>0.35070140280561124</v>
      </c>
    </row>
    <row r="282" spans="1:12" ht="14.25" customHeight="1">
      <c r="A282" s="25" t="s">
        <v>622</v>
      </c>
      <c r="B282" s="25" t="s">
        <v>623</v>
      </c>
      <c r="C282" s="25" t="s">
        <v>624</v>
      </c>
      <c r="D282" s="25" t="s">
        <v>621</v>
      </c>
      <c r="E282" s="62">
        <v>0.2</v>
      </c>
      <c r="F282" s="26">
        <f t="shared" si="35"/>
        <v>24.379432624113477</v>
      </c>
      <c r="G282" s="34">
        <f t="shared" si="36"/>
        <v>29.25531914893617</v>
      </c>
      <c r="H282" s="42">
        <v>275</v>
      </c>
      <c r="I282" s="36">
        <f t="shared" si="32"/>
        <v>330</v>
      </c>
      <c r="J282" s="58">
        <v>427</v>
      </c>
      <c r="K282" s="56">
        <f t="shared" si="33"/>
        <v>512.4</v>
      </c>
      <c r="L282" s="30">
        <f t="shared" si="37"/>
        <v>0.35597189695550352</v>
      </c>
    </row>
    <row r="283" spans="1:12" ht="14.25" customHeight="1"/>
    <row r="284" spans="1:12" ht="14.25" customHeight="1">
      <c r="A284" s="1" t="s">
        <v>625</v>
      </c>
    </row>
    <row r="285" spans="1:12" ht="14.25" customHeight="1">
      <c r="A285" s="1" t="s">
        <v>626</v>
      </c>
    </row>
    <row r="286" spans="1:12" ht="14.25" customHeight="1">
      <c r="A286" s="1" t="s">
        <v>627</v>
      </c>
    </row>
    <row r="287" spans="1:12" ht="14.25" customHeight="1"/>
    <row r="288" spans="1:12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</sheetData>
  <mergeCells count="7">
    <mergeCell ref="A247:K247"/>
    <mergeCell ref="A265:K265"/>
    <mergeCell ref="A2:D2"/>
    <mergeCell ref="F2:G2"/>
    <mergeCell ref="A72:D72"/>
    <mergeCell ref="A143:K143"/>
    <mergeCell ref="A195:K195"/>
  </mergeCells>
  <pageMargins left="0.7" right="0.7" top="0.75" bottom="0.75" header="0" footer="0"/>
  <pageSetup paperSize="9" fitToHeight="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Oleynikoff</dc:creator>
  <cp:lastModifiedBy>1</cp:lastModifiedBy>
  <cp:revision>232</cp:revision>
  <dcterms:created xsi:type="dcterms:W3CDTF">2023-10-02T11:32:41Z</dcterms:created>
  <dcterms:modified xsi:type="dcterms:W3CDTF">2025-07-18T12:28:31Z</dcterms:modified>
</cp:coreProperties>
</file>