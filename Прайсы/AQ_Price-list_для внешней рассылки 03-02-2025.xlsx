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ak\Documents\Прайс\Для рассылки\Финальное\"/>
    </mc:Choice>
  </mc:AlternateContent>
  <xr:revisionPtr revIDLastSave="0" documentId="13_ncr:1_{D1E46380-0AA5-4209-9726-604C9C1B1F62}" xr6:coauthVersionLast="36" xr6:coauthVersionMax="36" xr10:uidLastSave="{00000000-0000-0000-0000-000000000000}"/>
  <bookViews>
    <workbookView xWindow="0" yWindow="0" windowWidth="28800" windowHeight="12225" xr2:uid="{B003EF26-8A50-4406-95C6-5D6C0AFF99FB}"/>
  </bookViews>
  <sheets>
    <sheet name="AQ Price" sheetId="1" r:id="rId1"/>
    <sheet name="AQ Price ARM" sheetId="2" r:id="rId2"/>
  </sheets>
  <externalReferences>
    <externalReference r:id="rId3"/>
    <externalReference r:id="rId4"/>
  </externalReferences>
  <definedNames>
    <definedName name="_xlnm._FilterDatabase" localSheetId="0" hidden="1">'AQ Price'!$A$11:$O$235</definedName>
    <definedName name="_xlnm._FilterDatabase" localSheetId="1" hidden="1">'AQ Price ARM'!$A$11:$C$288</definedName>
    <definedName name="СЦЕП_B11_ConcatinateRange_B19_B27_________Стандартная_гарантия_3_года" localSheetId="1">#REF!</definedName>
    <definedName name="СЦЕП_B11_ConcatinateRange_B19_B27_________Стандартная_гарантия_3_года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2" i="1" l="1"/>
  <c r="B288" i="2" l="1"/>
  <c r="A288" i="2"/>
  <c r="B286" i="2"/>
  <c r="A286" i="2"/>
  <c r="B285" i="2"/>
  <c r="A285" i="2"/>
  <c r="B284" i="2"/>
  <c r="A284" i="2"/>
  <c r="B283" i="2"/>
  <c r="A283" i="2"/>
  <c r="B281" i="2"/>
  <c r="A281" i="2"/>
  <c r="B280" i="2"/>
  <c r="A280" i="2"/>
  <c r="B278" i="2"/>
  <c r="A278" i="2"/>
  <c r="B277" i="2"/>
  <c r="A277" i="2"/>
  <c r="B276" i="2"/>
  <c r="A276" i="2"/>
  <c r="B275" i="2"/>
  <c r="A275" i="2"/>
  <c r="B274" i="2"/>
  <c r="A274" i="2"/>
  <c r="B273" i="2"/>
  <c r="A273" i="2"/>
  <c r="B272" i="2"/>
  <c r="A272" i="2"/>
  <c r="B271" i="2"/>
  <c r="A271" i="2"/>
  <c r="B270" i="2"/>
  <c r="A270" i="2"/>
  <c r="B269" i="2"/>
  <c r="A269" i="2"/>
  <c r="B268" i="2"/>
  <c r="A268" i="2"/>
  <c r="B266" i="2"/>
  <c r="A266" i="2"/>
  <c r="B265" i="2"/>
  <c r="A265" i="2"/>
  <c r="B264" i="2"/>
  <c r="A264" i="2"/>
  <c r="B263" i="2"/>
  <c r="A263" i="2"/>
  <c r="B262" i="2"/>
  <c r="A262" i="2"/>
  <c r="B261" i="2"/>
  <c r="A261" i="2"/>
  <c r="B260" i="2"/>
  <c r="A260" i="2"/>
  <c r="B259" i="2"/>
  <c r="A259" i="2"/>
  <c r="B258" i="2"/>
  <c r="A258" i="2"/>
  <c r="B257" i="2"/>
  <c r="A257" i="2"/>
  <c r="B256" i="2"/>
  <c r="A256" i="2"/>
  <c r="B254" i="2"/>
  <c r="A254" i="2"/>
  <c r="B253" i="2"/>
  <c r="A253" i="2"/>
  <c r="B252" i="2"/>
  <c r="A252" i="2"/>
  <c r="B251" i="2"/>
  <c r="A251" i="2"/>
  <c r="B250" i="2"/>
  <c r="A250" i="2"/>
  <c r="B249" i="2"/>
  <c r="A249" i="2"/>
  <c r="B248" i="2"/>
  <c r="A248" i="2"/>
  <c r="B247" i="2"/>
  <c r="A247" i="2"/>
  <c r="B245" i="2"/>
  <c r="A245" i="2"/>
  <c r="B244" i="2"/>
  <c r="A244" i="2"/>
  <c r="B243" i="2"/>
  <c r="A243" i="2"/>
  <c r="B242" i="2"/>
  <c r="A242" i="2"/>
  <c r="B241" i="2"/>
  <c r="A241" i="2"/>
  <c r="B240" i="2"/>
  <c r="A240" i="2"/>
  <c r="B239" i="2"/>
  <c r="A239" i="2"/>
  <c r="B238" i="2"/>
  <c r="A238" i="2"/>
  <c r="B237" i="2"/>
  <c r="A237" i="2"/>
  <c r="B236" i="2"/>
  <c r="A236" i="2"/>
  <c r="B235" i="2"/>
  <c r="A235" i="2"/>
  <c r="B233" i="2"/>
  <c r="A233" i="2"/>
  <c r="B232" i="2"/>
  <c r="A232" i="2"/>
  <c r="B231" i="2"/>
  <c r="A231" i="2"/>
  <c r="B230" i="2"/>
  <c r="A230" i="2"/>
  <c r="B229" i="2"/>
  <c r="A229" i="2"/>
  <c r="B228" i="2"/>
  <c r="A228" i="2"/>
  <c r="B227" i="2"/>
  <c r="A227" i="2"/>
  <c r="B226" i="2"/>
  <c r="A226" i="2"/>
  <c r="B224" i="2"/>
  <c r="A224" i="2"/>
  <c r="B223" i="2"/>
  <c r="A223" i="2"/>
  <c r="B222" i="2"/>
  <c r="A222" i="2"/>
  <c r="B221" i="2"/>
  <c r="A221" i="2"/>
  <c r="B220" i="2"/>
  <c r="A220" i="2"/>
  <c r="B219" i="2"/>
  <c r="A219" i="2"/>
  <c r="B218" i="2"/>
  <c r="A218" i="2"/>
  <c r="B217" i="2"/>
  <c r="A217" i="2"/>
  <c r="B214" i="2"/>
  <c r="A214" i="2"/>
  <c r="B212" i="2"/>
  <c r="A212" i="2"/>
  <c r="B211" i="2"/>
  <c r="A211" i="2"/>
  <c r="B210" i="2"/>
  <c r="A210" i="2"/>
  <c r="B209" i="2"/>
  <c r="A209" i="2"/>
  <c r="B207" i="2"/>
  <c r="A207" i="2"/>
  <c r="B206" i="2"/>
  <c r="A206" i="2"/>
  <c r="B204" i="2"/>
  <c r="A204" i="2"/>
  <c r="B203" i="2"/>
  <c r="A203" i="2"/>
  <c r="B202" i="2"/>
  <c r="A202" i="2"/>
  <c r="B201" i="2"/>
  <c r="A201" i="2"/>
  <c r="B200" i="2"/>
  <c r="A200" i="2"/>
  <c r="B199" i="2"/>
  <c r="A199" i="2"/>
  <c r="B198" i="2"/>
  <c r="A198" i="2"/>
  <c r="B197" i="2"/>
  <c r="A197" i="2"/>
  <c r="B196" i="2"/>
  <c r="A196" i="2"/>
  <c r="B195" i="2"/>
  <c r="A195" i="2"/>
  <c r="B194" i="2"/>
  <c r="A194" i="2"/>
  <c r="B192" i="2"/>
  <c r="A192" i="2"/>
  <c r="B191" i="2"/>
  <c r="A191" i="2"/>
  <c r="B190" i="2"/>
  <c r="A190" i="2"/>
  <c r="B189" i="2"/>
  <c r="A189" i="2"/>
  <c r="B188" i="2"/>
  <c r="A188" i="2"/>
  <c r="B187" i="2"/>
  <c r="A187" i="2"/>
  <c r="B186" i="2"/>
  <c r="A186" i="2"/>
  <c r="B185" i="2"/>
  <c r="A185" i="2"/>
  <c r="B184" i="2"/>
  <c r="A184" i="2"/>
  <c r="B183" i="2"/>
  <c r="A183" i="2"/>
  <c r="B182" i="2"/>
  <c r="A182" i="2"/>
  <c r="B180" i="2"/>
  <c r="A180" i="2"/>
  <c r="B179" i="2"/>
  <c r="A179" i="2"/>
  <c r="B178" i="2"/>
  <c r="A178" i="2"/>
  <c r="B177" i="2"/>
  <c r="A177" i="2"/>
  <c r="B176" i="2"/>
  <c r="A176" i="2"/>
  <c r="B175" i="2"/>
  <c r="A175" i="2"/>
  <c r="B174" i="2"/>
  <c r="A174" i="2"/>
  <c r="B173" i="2"/>
  <c r="A173" i="2"/>
  <c r="B171" i="2"/>
  <c r="A171" i="2"/>
  <c r="B170" i="2"/>
  <c r="A170" i="2"/>
  <c r="B169" i="2"/>
  <c r="A169" i="2"/>
  <c r="B168" i="2"/>
  <c r="A168" i="2"/>
  <c r="B167" i="2"/>
  <c r="A167" i="2"/>
  <c r="B166" i="2"/>
  <c r="A166" i="2"/>
  <c r="B165" i="2"/>
  <c r="A165" i="2"/>
  <c r="B164" i="2"/>
  <c r="A164" i="2"/>
  <c r="B163" i="2"/>
  <c r="A163" i="2"/>
  <c r="B162" i="2"/>
  <c r="A162" i="2"/>
  <c r="B161" i="2"/>
  <c r="A161" i="2"/>
  <c r="B159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B150" i="2"/>
  <c r="A150" i="2"/>
  <c r="B149" i="2"/>
  <c r="A149" i="2"/>
  <c r="B148" i="2"/>
  <c r="A148" i="2"/>
  <c r="B147" i="2"/>
  <c r="A147" i="2"/>
  <c r="B146" i="2"/>
  <c r="A146" i="2"/>
  <c r="B145" i="2"/>
  <c r="A145" i="2"/>
  <c r="B144" i="2"/>
  <c r="A144" i="2"/>
  <c r="B143" i="2"/>
  <c r="A143" i="2"/>
  <c r="B140" i="2"/>
  <c r="B138" i="2"/>
  <c r="B137" i="2"/>
  <c r="B135" i="2"/>
  <c r="B134" i="2"/>
  <c r="B132" i="2"/>
  <c r="B131" i="2"/>
  <c r="B130" i="2"/>
  <c r="B129" i="2"/>
  <c r="B128" i="2"/>
  <c r="B127" i="2"/>
  <c r="B126" i="2"/>
  <c r="B125" i="2"/>
  <c r="B124" i="2"/>
  <c r="B123" i="2"/>
  <c r="B122" i="2"/>
  <c r="B120" i="2"/>
  <c r="B119" i="2"/>
  <c r="B118" i="2"/>
  <c r="B117" i="2"/>
  <c r="B116" i="2"/>
  <c r="B115" i="2"/>
  <c r="B114" i="2"/>
  <c r="B113" i="2"/>
  <c r="B112" i="2"/>
  <c r="B111" i="2"/>
  <c r="B110" i="2"/>
  <c r="B108" i="2"/>
  <c r="B107" i="2"/>
  <c r="B106" i="2"/>
  <c r="B105" i="2"/>
  <c r="B104" i="2"/>
  <c r="B103" i="2"/>
  <c r="B102" i="2"/>
  <c r="B101" i="2"/>
  <c r="B100" i="2"/>
  <c r="B99" i="2"/>
  <c r="B98" i="2"/>
  <c r="B96" i="2"/>
  <c r="B95" i="2"/>
  <c r="B94" i="2"/>
  <c r="B93" i="2"/>
  <c r="B92" i="2"/>
  <c r="B91" i="2"/>
  <c r="B90" i="2"/>
  <c r="B89" i="2"/>
  <c r="B88" i="2"/>
  <c r="B87" i="2"/>
  <c r="B86" i="2"/>
  <c r="B83" i="2"/>
  <c r="B81" i="2"/>
  <c r="B80" i="2"/>
  <c r="B79" i="2"/>
  <c r="B78" i="2"/>
  <c r="B76" i="2"/>
  <c r="B75" i="2"/>
  <c r="B73" i="2"/>
  <c r="B72" i="2"/>
  <c r="B71" i="2"/>
  <c r="B70" i="2"/>
  <c r="B69" i="2"/>
  <c r="B68" i="2"/>
  <c r="B67" i="2"/>
  <c r="B66" i="2"/>
  <c r="B65" i="2"/>
  <c r="B64" i="2"/>
  <c r="B63" i="2"/>
  <c r="B61" i="2"/>
  <c r="B60" i="2"/>
  <c r="B59" i="2"/>
  <c r="B58" i="2"/>
  <c r="B57" i="2"/>
  <c r="B56" i="2"/>
  <c r="B55" i="2"/>
  <c r="B54" i="2"/>
  <c r="B53" i="2"/>
  <c r="B52" i="2"/>
  <c r="B51" i="2"/>
  <c r="B49" i="2"/>
  <c r="B48" i="2"/>
  <c r="B47" i="2"/>
  <c r="B46" i="2"/>
  <c r="B45" i="2"/>
  <c r="B44" i="2"/>
  <c r="B43" i="2"/>
  <c r="B42" i="2"/>
  <c r="B40" i="2"/>
  <c r="B39" i="2"/>
  <c r="B38" i="2"/>
  <c r="B37" i="2"/>
  <c r="B36" i="2"/>
  <c r="B35" i="2"/>
  <c r="B34" i="2"/>
  <c r="B33" i="2"/>
  <c r="B32" i="2"/>
  <c r="B31" i="2"/>
  <c r="B30" i="2"/>
  <c r="B28" i="2"/>
  <c r="B27" i="2"/>
  <c r="B26" i="2"/>
  <c r="B25" i="2"/>
  <c r="B24" i="2"/>
  <c r="B23" i="2"/>
  <c r="B22" i="2"/>
  <c r="B21" i="2"/>
  <c r="B19" i="2"/>
  <c r="B18" i="2"/>
  <c r="B17" i="2"/>
  <c r="B16" i="2"/>
  <c r="B15" i="2"/>
  <c r="B14" i="2"/>
  <c r="B13" i="2"/>
  <c r="B12" i="2"/>
  <c r="B9" i="2"/>
  <c r="A9" i="2"/>
  <c r="B235" i="1"/>
  <c r="B234" i="1"/>
  <c r="A232" i="1"/>
  <c r="A231" i="1"/>
  <c r="B230" i="1"/>
  <c r="A230" i="1"/>
  <c r="B229" i="1"/>
  <c r="A229" i="1"/>
  <c r="B228" i="1"/>
  <c r="A228" i="1"/>
  <c r="A227" i="1"/>
  <c r="A226" i="1"/>
  <c r="A225" i="1"/>
  <c r="B223" i="1"/>
  <c r="A223" i="1"/>
  <c r="A207" i="1"/>
  <c r="A206" i="1"/>
  <c r="A205" i="1"/>
  <c r="A204" i="1"/>
  <c r="B199" i="1"/>
  <c r="B196" i="1"/>
  <c r="A196" i="1"/>
  <c r="B195" i="1"/>
  <c r="A195" i="1"/>
  <c r="B193" i="1"/>
  <c r="A193" i="1"/>
  <c r="B192" i="1"/>
  <c r="A192" i="1"/>
  <c r="B191" i="1"/>
  <c r="A191" i="1"/>
  <c r="B189" i="1"/>
  <c r="A189" i="1"/>
  <c r="B187" i="1"/>
  <c r="A187" i="1"/>
  <c r="B185" i="1"/>
  <c r="A185" i="1"/>
  <c r="B184" i="1"/>
  <c r="A184" i="1"/>
  <c r="B183" i="1"/>
  <c r="A183" i="1"/>
  <c r="B182" i="1"/>
  <c r="A182" i="1"/>
  <c r="B180" i="1"/>
  <c r="A180" i="1"/>
  <c r="B179" i="1"/>
  <c r="A179" i="1"/>
  <c r="B178" i="1"/>
  <c r="A178" i="1"/>
  <c r="B177" i="1"/>
  <c r="A177" i="1"/>
  <c r="B175" i="1"/>
  <c r="A175" i="1"/>
  <c r="B173" i="1"/>
  <c r="A173" i="1"/>
  <c r="B172" i="1"/>
  <c r="A172" i="1"/>
  <c r="B170" i="1"/>
  <c r="A170" i="1"/>
  <c r="B169" i="1"/>
  <c r="A169" i="1"/>
  <c r="B168" i="1"/>
  <c r="A168" i="1"/>
  <c r="B166" i="1"/>
  <c r="A166" i="1"/>
  <c r="B164" i="1"/>
  <c r="A164" i="1"/>
  <c r="B163" i="1"/>
  <c r="A163" i="1"/>
  <c r="B162" i="1"/>
  <c r="A162" i="1"/>
  <c r="B161" i="1"/>
  <c r="A161" i="1"/>
  <c r="B160" i="1"/>
  <c r="A160" i="1"/>
  <c r="B158" i="1"/>
  <c r="A158" i="1"/>
  <c r="B157" i="1"/>
  <c r="A157" i="1"/>
  <c r="B156" i="1"/>
  <c r="A156" i="1"/>
  <c r="B155" i="1"/>
  <c r="A155" i="1"/>
  <c r="B153" i="1"/>
  <c r="A153" i="1"/>
  <c r="A152" i="1"/>
  <c r="B150" i="1"/>
  <c r="A150" i="1"/>
  <c r="B149" i="1"/>
  <c r="A149" i="1"/>
  <c r="B148" i="1"/>
  <c r="A148" i="1"/>
  <c r="B146" i="1"/>
  <c r="A146" i="1"/>
  <c r="B143" i="1"/>
  <c r="A143" i="1"/>
  <c r="B141" i="1"/>
  <c r="A141" i="1"/>
  <c r="B140" i="1"/>
  <c r="A140" i="1"/>
  <c r="B138" i="1"/>
  <c r="A138" i="1"/>
  <c r="B137" i="1"/>
  <c r="A137" i="1"/>
  <c r="B136" i="1"/>
  <c r="A136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5" i="1"/>
  <c r="A85" i="1"/>
  <c r="B83" i="1"/>
  <c r="A83" i="1"/>
  <c r="B82" i="1"/>
  <c r="A82" i="1"/>
  <c r="B81" i="1"/>
  <c r="A81" i="1"/>
  <c r="B80" i="1"/>
  <c r="A80" i="1"/>
  <c r="B78" i="1"/>
  <c r="A78" i="1"/>
  <c r="B77" i="1"/>
  <c r="A77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9" i="1"/>
  <c r="A9" i="1"/>
</calcChain>
</file>

<file path=xl/sharedStrings.xml><?xml version="1.0" encoding="utf-8"?>
<sst xmlns="http://schemas.openxmlformats.org/spreadsheetml/2006/main" count="257" uniqueCount="212">
  <si>
    <t>ПК</t>
  </si>
  <si>
    <t>Моноблоки</t>
  </si>
  <si>
    <t>www.aq.ru</t>
  </si>
  <si>
    <t>Ноутбуки</t>
  </si>
  <si>
    <t>Мониторы</t>
  </si>
  <si>
    <t>Опции</t>
  </si>
  <si>
    <t>Операционные системы</t>
  </si>
  <si>
    <t>Цена со скидкой</t>
  </si>
  <si>
    <t>РРЦ</t>
  </si>
  <si>
    <t>Промо цена для партнера</t>
  </si>
  <si>
    <t>ПКК720</t>
  </si>
  <si>
    <t>ПК К730</t>
  </si>
  <si>
    <t>ПК К760</t>
  </si>
  <si>
    <t>ПК К790</t>
  </si>
  <si>
    <t>ПК Р30 К50</t>
  </si>
  <si>
    <t>ПК Р30 К51</t>
  </si>
  <si>
    <t>ПК Р30 К43</t>
  </si>
  <si>
    <t>ПК Р30 К45</t>
  </si>
  <si>
    <t xml:space="preserve">Рабочая станция Aquarius Pro G40 S90 </t>
  </si>
  <si>
    <t>Моноблок Т424</t>
  </si>
  <si>
    <t>Моноблок Т427</t>
  </si>
  <si>
    <t>Моноблок Т924</t>
  </si>
  <si>
    <t>Моноблок Т927</t>
  </si>
  <si>
    <t>Моноблок Т904</t>
  </si>
  <si>
    <t>Моноблок Т907</t>
  </si>
  <si>
    <t>Моноблок Т314</t>
  </si>
  <si>
    <t>14" Ноутбук-трансформер NS483</t>
  </si>
  <si>
    <t>Ноутбук-трансформер NS483 исп. 2</t>
  </si>
  <si>
    <t>Ноутбук NS934</t>
  </si>
  <si>
    <t>Ноутбук NS634</t>
  </si>
  <si>
    <t>AQ-CONF-NB-00106</t>
  </si>
  <si>
    <t>Машина портативная персональная электронно-вычислительная Aquarius Cmp NS634 (АМПР.466539.267) (14" WUXGA(FHD)/i5_1235U/DDR5_2x8G/SSD512_M2_NVMe/WiFi/BT)</t>
  </si>
  <si>
    <t>Ноутбук NS685 исп.3</t>
  </si>
  <si>
    <t>Ноутбук NS685 исп.4</t>
  </si>
  <si>
    <t>Ноутбук NS616</t>
  </si>
  <si>
    <t>Ноутбук NS626</t>
  </si>
  <si>
    <t>Ноутбук NS636</t>
  </si>
  <si>
    <t>AQ-CONF-NB-00105</t>
  </si>
  <si>
    <t>Машина портативная персональная электронно-вычислительная Aquarius Cmp NS636 (АМПР.466539.269) (16" WUXGA(FHD)/i5_1235U/DDR5_2x8G/SSD512_M2_NVMe/WiFi/BT)</t>
  </si>
  <si>
    <t>Ноутбук NE355</t>
  </si>
  <si>
    <t>Ноутбук NE356</t>
  </si>
  <si>
    <t>Ноутбук NS715R</t>
  </si>
  <si>
    <t>Для ПК и моноблоков</t>
  </si>
  <si>
    <t>AQC-OPTION-000110</t>
  </si>
  <si>
    <t>AQC-OPTION-000111</t>
  </si>
  <si>
    <t>Модуль памяти 4800MHz DDR5 DIMM 8GB</t>
  </si>
  <si>
    <t>AQC-OPTION-000112</t>
  </si>
  <si>
    <t>Добавить накопитель HDD 2.5" 1TB</t>
  </si>
  <si>
    <t>AQC-OPTION-000113</t>
  </si>
  <si>
    <t>Добавить клавиатуру и мышь</t>
  </si>
  <si>
    <t>AQC-MOU-00001</t>
  </si>
  <si>
    <t>Мышь проводная USB черный</t>
  </si>
  <si>
    <t>Модуль памяти 3200MHz DDR4 DIMM 8GB (AQ_RU)</t>
  </si>
  <si>
    <t>Модуль памяти 3200MHz DDR4 DIMM 16GB (AQ_RU)</t>
  </si>
  <si>
    <t>Модуль памяти 3200MHz DDR4 SODIMM 8GB (AQ_RU)</t>
  </si>
  <si>
    <t>Модуль памяти 3200MHz DDR4 SODIMM 16GB (AQ_RU)</t>
  </si>
  <si>
    <t>Для ноутбуков</t>
  </si>
  <si>
    <t>AQC-OPTION-000100</t>
  </si>
  <si>
    <t>Модуль памяти 4800MHz DDR5 SODIMM 8GB (добавить 10087738), для моделей NE355/NE356/NS634/NS636</t>
  </si>
  <si>
    <t>AQC-OPTION-000101</t>
  </si>
  <si>
    <t>Модуль памяти 4800MHz DDR5 SODIMM 16GB (добавить 10094704, убрать 10087738), для моделей NE355/NE356/NS634/NS636</t>
  </si>
  <si>
    <t>AQC-OPTION-000102</t>
  </si>
  <si>
    <t>Модуль памяти 3200MHz DDR4 SODIMM 8GB (добавить 10072930), для моделей NS685 Исполнение 4 и NS616</t>
  </si>
  <si>
    <t>AQC-OPTION-000103</t>
  </si>
  <si>
    <t>Модуль памяти 3200MHz DDR4 SODIMM 16GB (добавить 10067821, убрать 10088348), для моделей NS685 Исполнение 4 и NS616</t>
  </si>
  <si>
    <t>AQC-OPTION-000104</t>
  </si>
  <si>
    <t>Модуль памяти 3200MHz DDR4 SODIMM 8GB (AQ_RU) (добавить 10063389), для модели NS626</t>
  </si>
  <si>
    <t>AQC-OPTION-000105</t>
  </si>
  <si>
    <t>Модуль памяти 3200MHz DDR4 SODIMM 16GB (AQ_RU) (добавить 10082472, убрать 10063389), для модели NS626</t>
  </si>
  <si>
    <t>AQC-OPTION-000106</t>
  </si>
  <si>
    <t>Модуль памяти 4800MHz DDR5 SODIMM 16GB (добавить 10094704), для моделей NS934</t>
  </si>
  <si>
    <t>AQC-OPTION-000107</t>
  </si>
  <si>
    <t>Накопитель твердотельный SSD M.2 NVMe 512GB 2280 (добавить 10092876 , убрать 10090651), для моделей NS483 Исполнение 2, NS685 Исполнение 4, NS616, NS626, NE355 и NE356</t>
  </si>
  <si>
    <t>AQC-OPTION-000108</t>
  </si>
  <si>
    <t>Накопитель твердотельный SSD M.2 NVMe 1TB 2280 (добавить 10086061, убрать 10083997), для моделей NS483 Исполнение 2, NS685 Исполнение 4, NS616, NS626, NE355 и NE356</t>
  </si>
  <si>
    <t>AQC-OPTION-000109</t>
  </si>
  <si>
    <t>Мышь проводная USB черный (добавить 10082557)</t>
  </si>
  <si>
    <t>AQC-OPTION-000117</t>
  </si>
  <si>
    <t>Модуль памяти 4800MHz DDR5 SODIMM 32GB (добавить 10102046), для моделей NS634 и NS636</t>
  </si>
  <si>
    <t>AQC-LTE-00100</t>
  </si>
  <si>
    <t>LTE-модем для NS626  </t>
  </si>
  <si>
    <t>AQC-LTE-00101</t>
  </si>
  <si>
    <t>LTE-модем для NS634</t>
  </si>
  <si>
    <t>Для мониторов</t>
  </si>
  <si>
    <t>Лицензия Astra Linux Special Edition, лицензирование «Орел», для рабочей станции, бессрочная, ТП 12 мес. уровень стандартный</t>
  </si>
  <si>
    <t>Лицензия Astra Linux Special Edition, «Усиленный» («Воронеж»), для рабочей станции, бессрочная, ТП 12 мес. уровень стандартный</t>
  </si>
  <si>
    <t>Лицензия Astra Linux Special Edition «Максимальный» («Смоленск»), для рабочей станции, бессрочная, ТП 12 мес. уровень стандартный</t>
  </si>
  <si>
    <t xml:space="preserve">Цена по запросу, требуется регистрация проекта </t>
  </si>
  <si>
    <t>Лицензия РЕД ОС, Рабочая станция, стандартная редакция, ТП 12 мес базовый</t>
  </si>
  <si>
    <t>Лицензия РЕД ОС, Рабочая станция, сертифицированная редакция, ТП 12 мес базовый</t>
  </si>
  <si>
    <t>Офисный пакет</t>
  </si>
  <si>
    <t>AQC-SFT-00020</t>
  </si>
  <si>
    <t>Цена по запросу, требуется регистрация проекта</t>
  </si>
  <si>
    <t>AQC-SFT-00021</t>
  </si>
  <si>
    <t>АРМ ПК (без монитора)</t>
  </si>
  <si>
    <t>АРМ Моноблоки</t>
  </si>
  <si>
    <t>АРМ (ПК+24)</t>
  </si>
  <si>
    <t>АРМ (ПК+27)</t>
  </si>
  <si>
    <t>ПК К720</t>
  </si>
  <si>
    <t>AQ-CONF-ARMP-00001</t>
  </si>
  <si>
    <t>AQ-CONF-ARMP-00002</t>
  </si>
  <si>
    <t>AQ-CONF-ARMP-00003</t>
  </si>
  <si>
    <t>AQ-CONF-ARMP-00004</t>
  </si>
  <si>
    <t>AQ-CONF-ARMP-00005</t>
  </si>
  <si>
    <t>AQ-CONF-ARMP-00006</t>
  </si>
  <si>
    <t>AQ-CONF-ARMP-00007</t>
  </si>
  <si>
    <t>AQ-CONF-ARMP-00008</t>
  </si>
  <si>
    <t>AQ-CONF-ARMP-00009</t>
  </si>
  <si>
    <t>AQ-CONF-ARMP-00010</t>
  </si>
  <si>
    <t>AQ-CONF-ARMP-00011</t>
  </si>
  <si>
    <t>AQ-CONF-ARMP-00012</t>
  </si>
  <si>
    <t>AQ-CONF-ARMP-00013</t>
  </si>
  <si>
    <t>AQ-CONF-ARMP-00014</t>
  </si>
  <si>
    <t>AQ-CONF-ARMP-00015</t>
  </si>
  <si>
    <t>AQ-CONF-ARMP-00016</t>
  </si>
  <si>
    <t>AQ-CONF-ARMP-00017</t>
  </si>
  <si>
    <t>AQ-CONF-ARMP-00018</t>
  </si>
  <si>
    <t>AQ-CONF-ARMP-00019</t>
  </si>
  <si>
    <t>AQ-CONF-ARMP-00020</t>
  </si>
  <si>
    <t>AQ-CONF-ARMP-00021</t>
  </si>
  <si>
    <t>AQ-CONF-ARMP-00022</t>
  </si>
  <si>
    <t>AQ-CONF-ARMP-00023</t>
  </si>
  <si>
    <t>AQ-CONF-ARMP-00024</t>
  </si>
  <si>
    <t>AQ-CONF-ARMP-00025</t>
  </si>
  <si>
    <t>AQ-CONF-ARMP-00026</t>
  </si>
  <si>
    <t>AQ-CONF-ARMP-00027</t>
  </si>
  <si>
    <t>AQ-CONF-ARMP-00028</t>
  </si>
  <si>
    <t>AQ-CONF-ARMP-00029</t>
  </si>
  <si>
    <t>AQ-CONF-ARMP-00030</t>
  </si>
  <si>
    <t>AQ-CONF-ARMP-00031</t>
  </si>
  <si>
    <t>AQ-CONF-ARMP-00032</t>
  </si>
  <si>
    <t>AQ-CONF-ARMP-00033</t>
  </si>
  <si>
    <t>AQ-CONF-ARMP-00034</t>
  </si>
  <si>
    <t>AQ-CONF-ARMP-00035</t>
  </si>
  <si>
    <t>AQ-CONF-ARMP-00042</t>
  </si>
  <si>
    <t>AQ-CONF-ARMP-00043</t>
  </si>
  <si>
    <t>AQ-CONF-ARMP-00044</t>
  </si>
  <si>
    <t>AQ-CONF-ARMP-00045</t>
  </si>
  <si>
    <t>AQ-CONF-ARMP-00046</t>
  </si>
  <si>
    <t>AQ-CONF-ARMP-00047</t>
  </si>
  <si>
    <t>AQ-CONF-ARMP-00048</t>
  </si>
  <si>
    <t>AQ-CONF-ARMP-00049</t>
  </si>
  <si>
    <t>AQ-CONF-ARMP-00050</t>
  </si>
  <si>
    <t>AQ-CONF-ARMP-00051</t>
  </si>
  <si>
    <t>AQ-CONF-ARMP-00052</t>
  </si>
  <si>
    <t>AQ-CONF-ARMP-00054</t>
  </si>
  <si>
    <t>AQ-CONF-ARMP-00055</t>
  </si>
  <si>
    <t>AQ-CONF-ARMP-00056</t>
  </si>
  <si>
    <t>AQ-CONF-ARMP-00057</t>
  </si>
  <si>
    <t>AQ-CONF-ARMP-00058</t>
  </si>
  <si>
    <t>AQ-CONF-ARMP-00059</t>
  </si>
  <si>
    <t>AQ-CONF-ARMP-00060</t>
  </si>
  <si>
    <t>AQ-CONF-ARMP-00061</t>
  </si>
  <si>
    <t>AQ-CONF-ARMP-00062</t>
  </si>
  <si>
    <t>AQ-CONF-ARMP-00063</t>
  </si>
  <si>
    <t>AQ-CONF-ARMP-00064</t>
  </si>
  <si>
    <t>AQ-CONF-ARMP-00036</t>
  </si>
  <si>
    <t>AQ-CONF-ARMP-00037</t>
  </si>
  <si>
    <t>AQ-CONF-ARMP-00038</t>
  </si>
  <si>
    <t>AQ-CONF-ARMP-00039</t>
  </si>
  <si>
    <t>AQ-CONF-ARMP-00040</t>
  </si>
  <si>
    <t>AQ-CONF-ARMP-00041</t>
  </si>
  <si>
    <t>AQ-CONF-ARMP-00065</t>
  </si>
  <si>
    <t>AQ-CONF-ARMM-00001</t>
  </si>
  <si>
    <t>AQ-CONF-ARMM-00002</t>
  </si>
  <si>
    <t>AQ-CONF-ARMM-00003</t>
  </si>
  <si>
    <t>AQ-CONF-ARMM-00004</t>
  </si>
  <si>
    <t>AQ-CONF-ARMM-00005</t>
  </si>
  <si>
    <t>AQ-CONF-ARMM-00006</t>
  </si>
  <si>
    <t>AQ-CONF-ARMM-00007</t>
  </si>
  <si>
    <t>AQ-CONF-ARMM-00008</t>
  </si>
  <si>
    <t>AQ-CONF-ARMM-00009</t>
  </si>
  <si>
    <t>AQ-CONF-ARMM-00010</t>
  </si>
  <si>
    <t>AQ-CONF-ARMM-00011</t>
  </si>
  <si>
    <t>AQ-CONF-ARMM-00012</t>
  </si>
  <si>
    <t>AQ-CONF-ARMM-00013</t>
  </si>
  <si>
    <t>AQ-CONF-ARMM-00014</t>
  </si>
  <si>
    <t>AQ-CONF-ARMM-00015</t>
  </si>
  <si>
    <t>AQ-CONF-ARMM-00016</t>
  </si>
  <si>
    <t>AQ-CONF-ARMM-00017</t>
  </si>
  <si>
    <t>AQ-CONF-ARMM-00018</t>
  </si>
  <si>
    <t>AQ-CONF-ARMM-00019</t>
  </si>
  <si>
    <t>AQ-CONF-ARMM-00020</t>
  </si>
  <si>
    <t>AQ-CONF-ARMM-00021</t>
  </si>
  <si>
    <t>AQ-CONF-ARMM-00022</t>
  </si>
  <si>
    <t>AQ-CONF-ARMM-00023</t>
  </si>
  <si>
    <t>AQ-CONF-ARMM-00024</t>
  </si>
  <si>
    <t>AQ-CONF-ARMM-00025</t>
  </si>
  <si>
    <t>AQ-CONF-ARMM-00026</t>
  </si>
  <si>
    <t>AQ-CONF-ARMM-00027</t>
  </si>
  <si>
    <t>AQ-CONF-ARMM-00028</t>
  </si>
  <si>
    <t>AQ-CONF-ARMM-00029</t>
  </si>
  <si>
    <t>AQ-CONF-ARMM-00030</t>
  </si>
  <si>
    <t>AQ-CONF-ARMM-00031</t>
  </si>
  <si>
    <t>AQ-CONF-ARMM-00032</t>
  </si>
  <si>
    <t>AQ-CONF-ARMM-00033</t>
  </si>
  <si>
    <t>AQ-CONF-ARMM-00034</t>
  </si>
  <si>
    <t>AQ-CONF-ARMM-00035</t>
  </si>
  <si>
    <t>AQ-CONF-ARMM-00036</t>
  </si>
  <si>
    <t>AQ-CONF-ARMM-00037</t>
  </si>
  <si>
    <t>AQ-CONF-ARMM-00038</t>
  </si>
  <si>
    <t>AQ-CONF-ARMM-00039</t>
  </si>
  <si>
    <t>AQ-CONF-ARMM-00040</t>
  </si>
  <si>
    <t>AQ-CONF-ARMM-00041</t>
  </si>
  <si>
    <t>AQ-CONF-ARMM-00042</t>
  </si>
  <si>
    <t>AQ-CONF-ARMM-00043</t>
  </si>
  <si>
    <t>AQ-CONF-ARMM-00044</t>
  </si>
  <si>
    <t>AQ-CONF-ARMM-00045</t>
  </si>
  <si>
    <t>AQ-CONF-ARMM-00046</t>
  </si>
  <si>
    <t>AQ-CONF-ARMM-00047</t>
  </si>
  <si>
    <t>AQ-CONF-ARMM-00048</t>
  </si>
  <si>
    <t>AQ-CONF-ARMM-00049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</si>
</sst>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\ _₽_-;\-* #,##0.00\ _₽_-;_-* &quot;-&quot;??\ _₽_-;_-@_-"/>
    <numFmt numFmtId="164" formatCode="[$$-C09]#,##0"/>
    <numFmt numFmtId="165" formatCode="#,##0\ [$₽-419]"/>
    <numFmt numFmtId="166" formatCode="#,##0\ &quot;₽&quot;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DDAE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0" xfId="0" applyFont="1" applyBorder="1" applyAlignment="1">
      <alignment horizontal="center" vertical="center"/>
    </xf>
    <xf numFmtId="0" fontId="4" fillId="0" borderId="0" xfId="3" applyBorder="1" applyAlignment="1">
      <alignment vertical="center"/>
    </xf>
    <xf numFmtId="164" fontId="0" fillId="0" borderId="0" xfId="0" applyNumberFormat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left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6" xfId="0" applyFill="1" applyBorder="1" applyAlignment="1">
      <alignment wrapText="1"/>
    </xf>
    <xf numFmtId="0" fontId="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wrapText="1"/>
    </xf>
    <xf numFmtId="0" fontId="6" fillId="0" borderId="0" xfId="0" applyFont="1"/>
    <xf numFmtId="0" fontId="0" fillId="0" borderId="10" xfId="0" applyBorder="1" applyAlignment="1">
      <alignment horizontal="left" vertical="center" wrapText="1"/>
    </xf>
    <xf numFmtId="164" fontId="0" fillId="0" borderId="10" xfId="1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164" fontId="0" fillId="0" borderId="11" xfId="1" applyNumberFormat="1" applyFont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164" fontId="0" fillId="0" borderId="0" xfId="0" applyNumberFormat="1" applyFill="1" applyBorder="1" applyAlignment="1">
      <alignment horizontal="center" vertical="center"/>
    </xf>
    <xf numFmtId="164" fontId="0" fillId="0" borderId="0" xfId="1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shrinkToFit="1"/>
    </xf>
    <xf numFmtId="9" fontId="2" fillId="0" borderId="0" xfId="2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0" fillId="5" borderId="3" xfId="1" applyNumberFormat="1" applyFont="1" applyFill="1" applyBorder="1" applyAlignment="1">
      <alignment horizontal="center" vertical="center"/>
    </xf>
    <xf numFmtId="165" fontId="0" fillId="5" borderId="4" xfId="1" applyNumberFormat="1" applyFont="1" applyFill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164" fontId="3" fillId="0" borderId="12" xfId="0" applyNumberFormat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66" fontId="0" fillId="5" borderId="2" xfId="1" applyNumberFormat="1" applyFont="1" applyFill="1" applyBorder="1" applyAlignment="1">
      <alignment horizontal="center" vertical="center"/>
    </xf>
    <xf numFmtId="166" fontId="0" fillId="5" borderId="3" xfId="1" applyNumberFormat="1" applyFont="1" applyFill="1" applyBorder="1" applyAlignment="1">
      <alignment horizontal="center" vertical="center"/>
    </xf>
    <xf numFmtId="166" fontId="0" fillId="5" borderId="4" xfId="1" applyNumberFormat="1" applyFont="1" applyFill="1" applyBorder="1" applyAlignment="1">
      <alignment horizontal="center" vertical="center"/>
    </xf>
  </cellXfs>
  <cellStyles count="4">
    <cellStyle name="Гиперссылка" xfId="3" builtinId="8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397880</xdr:colOff>
      <xdr:row>0</xdr:row>
      <xdr:rowOff>136790</xdr:rowOff>
    </xdr:from>
    <xdr:to>
      <xdr:col>0</xdr:col>
      <xdr:colOff>1811416</xdr:colOff>
      <xdr:row>1</xdr:row>
      <xdr:rowOff>170723</xdr:rowOff>
    </xdr:to>
    <xdr:pic>
      <xdr:nvPicPr>
        <xdr:cNvPr id="2" name="Рисунок 1" descr="Aq_logo_black_small.png">
          <a:extLst>
            <a:ext uri="{FF2B5EF4-FFF2-40B4-BE49-F238E27FC236}">
              <a16:creationId xmlns:a16="http://schemas.microsoft.com/office/drawing/2014/main" id="{407B71D8-15FD-4237-87DF-4AAADE7F2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7880" y="136790"/>
          <a:ext cx="1413536" cy="224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397880</xdr:colOff>
      <xdr:row>0</xdr:row>
      <xdr:rowOff>136790</xdr:rowOff>
    </xdr:from>
    <xdr:to>
      <xdr:col>0</xdr:col>
      <xdr:colOff>1799986</xdr:colOff>
      <xdr:row>1</xdr:row>
      <xdr:rowOff>170723</xdr:rowOff>
    </xdr:to>
    <xdr:pic>
      <xdr:nvPicPr>
        <xdr:cNvPr id="2" name="Рисунок 1" descr="Aq_logo_black_small.png">
          <a:extLst>
            <a:ext uri="{FF2B5EF4-FFF2-40B4-BE49-F238E27FC236}">
              <a16:creationId xmlns:a16="http://schemas.microsoft.com/office/drawing/2014/main" id="{4B63112A-366C-4A6C-9F78-73B5FFE70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7880" y="136790"/>
          <a:ext cx="1402106" cy="2244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Q%20Price%2003-02-2025%20Presa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pak/Documents/&#1055;&#1088;&#1072;&#1081;&#1089;/&#1055;&#1088;&#1072;&#1081;&#1089;%20&#1092;&#1072;&#1081;&#1083;&#1099;/&#1057;&#1090;&#1088;&#1091;&#1082;&#1090;&#1091;&#1088;&#1072;%20&#1087;&#1088;&#1072;&#1081;&#1089;-&#1083;&#1080;&#1089;&#1090;&#1072;%20300125%20&#8212;%20&#1082;&#1086;&#1087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айс_Сводная"/>
      <sheetName val="Прайс_АРМ"/>
      <sheetName val="B760M"/>
      <sheetName val="H610"/>
      <sheetName val="Сравнение"/>
      <sheetName val="AQH410T"/>
      <sheetName val="246DF"/>
      <sheetName val="AQX300M"/>
      <sheetName val="Ноут14&quot;"/>
      <sheetName val="Ноут16&quot;"/>
      <sheetName val="715R"/>
      <sheetName val="ДЗиЛ"/>
      <sheetName val="Mon"/>
      <sheetName val="АРМ (ПК без мониторов) "/>
      <sheetName val="АРМ (ПК+24)"/>
      <sheetName val="АРМ (ПК+27)"/>
      <sheetName val="АРМ (Моноблоки)"/>
      <sheetName val="ПО "/>
      <sheetName val="Компоненты"/>
      <sheetName val="Замечания"/>
      <sheetName val="Процы"/>
      <sheetName val="Options"/>
      <sheetName val="CostПД"/>
      <sheetName val="UID"/>
      <sheetName val="UID 1C"/>
      <sheetName val="Валидация"/>
      <sheetName val="склад 29102024"/>
    </sheetNames>
    <sheetDataSet>
      <sheetData sheetId="0"/>
      <sheetData sheetId="1"/>
      <sheetData sheetId="2">
        <row r="6">
          <cell r="A6" t="str">
            <v>UID</v>
          </cell>
          <cell r="D6" t="str">
            <v>Наименование</v>
          </cell>
        </row>
        <row r="21">
          <cell r="A21" t="str">
            <v>AQ-CONF-PRO-00084</v>
          </cell>
          <cell r="D21" t="str">
            <v>ПЭВМ Aquarius Pro K720 (АМПР.466539.254) (SFF_300/i3_12100/DDR5_8G/SSD256_M2_NVMe/WiFi/BT/KM)</v>
          </cell>
        </row>
        <row r="40">
          <cell r="A40" t="str">
            <v>AQ-CONF-PRO-000100</v>
          </cell>
          <cell r="D40" t="str">
            <v>ПЭВМ Aquarius Pro K720 (АМПР.466539.254) (SFF_300/i5_12400/DDR5_8G/SSD256_M2_NVMe/WiFi/BT/KM)</v>
          </cell>
        </row>
        <row r="58">
          <cell r="A58" t="str">
            <v>AQ-CONF-PRO-000101</v>
          </cell>
          <cell r="D58" t="str">
            <v>ПЭВМ Aquarius Pro K720 (АМПР.466539.254) (SFF_300/i5_12400/DDR5_8G/SSD512_M2_NVMe/WiFi/BT/KM)</v>
          </cell>
        </row>
        <row r="79">
          <cell r="A79" t="str">
            <v>AQ-CONF-PRO-000103</v>
          </cell>
          <cell r="D79" t="str">
            <v>ПЭВМ Aquarius Pro K720 (АМПР.466539.254) (SFF_300/i3_13100/DDR5_8G/SSD256_M2_NVMe/WiFi/BT/KM)</v>
          </cell>
        </row>
        <row r="98">
          <cell r="A98" t="str">
            <v>AQ-CONF-PRO-000104</v>
          </cell>
          <cell r="D98" t="str">
            <v>ПЭВМ Aquarius Pro K720 (АМПР.466539.254) (SFF_300/i5_13400/DDR5_8G/SSD256_M2_NVMe/WiFi/BT/KM)</v>
          </cell>
        </row>
        <row r="117">
          <cell r="A117" t="str">
            <v>AQ-CONF-PRO-000105</v>
          </cell>
          <cell r="D117" t="str">
            <v>ПЭВМ Aquarius Pro K720 (АМПР.466539.254) (SFF_300/i5_13400/DDR5_8G/SSD512_M2_NVMe/WiFi/BT/KM)</v>
          </cell>
        </row>
        <row r="137">
          <cell r="A137" t="str">
            <v>AQ-CONF-PRO-000107</v>
          </cell>
          <cell r="D137" t="str">
            <v>ПЭВМ Aquarius Pro K720 (АМПР.466539.254) (SFF_300/i3_14100/DDR5_8G/SSD512_M2_NVMe/WiFi/BT/KM)</v>
          </cell>
        </row>
        <row r="156">
          <cell r="A156" t="str">
            <v>AQ-CONF-PRO-000108</v>
          </cell>
          <cell r="D156" t="str">
            <v>ПЭВМ Aquarius Pro K720 (АМПР.466539.254) (SFF_300/i5_14400/DDR5_16G/SSD512_M2_NVMe/WiFi/BT/KM)</v>
          </cell>
        </row>
        <row r="175">
          <cell r="A175" t="str">
            <v>AQ-CONF-PRO-00086</v>
          </cell>
          <cell r="D175" t="str">
            <v>ПЭВМ Aquarius Pro K730 (АМПР.466539.821) (SFF_300/i3_12100/DDR5_8G/SSD256_M2_NVMe/WiFi/BT/KM)</v>
          </cell>
        </row>
        <row r="194">
          <cell r="A194" t="str">
            <v>AQ-CONF-PRO-000110</v>
          </cell>
          <cell r="D194" t="str">
            <v>ПЭВМ Aquarius Pro K730 (АМПР.466539.821) (SFF_300/i5_12400/DDR5_8G/SSD256_M2_NVMe/WiFi/BT/KM)</v>
          </cell>
        </row>
        <row r="211">
          <cell r="A211" t="str">
            <v>AQ-CONF-PRO-000111</v>
          </cell>
          <cell r="D211" t="str">
            <v>ПЭВМ Aquarius Pro K730 (АМПР.466539.821) (SFF_300/i5_12400/DDR5_8G/SSD512_M2_NVMe/WiFi/BT/KM)</v>
          </cell>
        </row>
        <row r="229">
          <cell r="A229" t="str">
            <v>AQ-CONF-PRO-000113</v>
          </cell>
          <cell r="D229" t="str">
            <v>ПЭВМ Aquarius Pro K730 (АМПР.466539.821) (SFF_300/i3_13100/DDR5_8G/SSD256_M2_NVMe/WiFi/BT/KM)</v>
          </cell>
        </row>
        <row r="246">
          <cell r="A246" t="str">
            <v>AQ-CONF-PRO-000114</v>
          </cell>
          <cell r="D246" t="str">
            <v>ПЭВМ Aquarius Pro K730 (АМПР.466539.821) (SFF_300/i5_13400/DDR5_8G/SSD256_M2_NVMe/WiFi/BT/KM)</v>
          </cell>
        </row>
        <row r="263">
          <cell r="A263" t="str">
            <v>AQ-CONF-PRO-000115</v>
          </cell>
          <cell r="D263" t="str">
            <v>ПЭВМ Aquarius Pro K730 (АМПР.466539.821) (SFF_300/i5_13400/DDR5_8G/SSD512_M2_NVMe/WiFi/BT/KM)</v>
          </cell>
        </row>
        <row r="281">
          <cell r="A281" t="str">
            <v>AQ-CONF-PRO-000117</v>
          </cell>
          <cell r="D281" t="str">
            <v>ПЭВМ Aquarius Pro K730 (АМПР.466539.821) (SFF_300/i3_14100/DDR5_8G/SSD256_M2_NVMe/WiFi/BT/KM)</v>
          </cell>
        </row>
        <row r="298">
          <cell r="A298" t="str">
            <v>AQ-CONF-PRO-000118</v>
          </cell>
          <cell r="D298" t="str">
            <v>ПЭВМ Aquarius Pro K730 (АМПР.466539.821) (SFF_300/i5_14400/DDR5_16G/SSD512_M2_NVMe/WiFi/BT/KM)</v>
          </cell>
        </row>
        <row r="318">
          <cell r="A318" t="str">
            <v>AQ-CONF-PRO-00087</v>
          </cell>
          <cell r="D318" t="str">
            <v>ПЭВМ Aquarius Pro K760 (АМПР.466539.823) (MNT/PSU400/i3_12100/DDR5_8G/SSD256_M2_NVMe/WiFi/BT/KM)</v>
          </cell>
        </row>
        <row r="336">
          <cell r="A336" t="str">
            <v>AQ-CONF-PRO-000120</v>
          </cell>
          <cell r="D336" t="str">
            <v>ПЭВМ Aquarius Pro K760 (АМПР.466539.823) (MNT/PSU400/i5_12400/DDR5_8G/SSD256_M2_NVMe/WiFi/BT/KM)</v>
          </cell>
        </row>
        <row r="354">
          <cell r="A354" t="str">
            <v>AQ-CONF-PRO-000121</v>
          </cell>
          <cell r="D354" t="str">
            <v>ПЭВМ Aquarius Pro K760 (АМПР.466539.823) (MNT/PSU400/i5_12400/DDR5_8G/SSD512_M2_NVMe/WiFi/BT/KM)</v>
          </cell>
        </row>
        <row r="372">
          <cell r="A372" t="str">
            <v>AQ-CONF-PRO-000153</v>
          </cell>
          <cell r="D372" t="str">
            <v>ПЭВМ Aquarius Pro K760 (АМПР.466539.823) (MNT/PSU400/i5_12400/DDR5_16G/SSD512_M2_NVMe/WiFi/BT/KM)</v>
          </cell>
        </row>
        <row r="390">
          <cell r="A390" t="str">
            <v>AQ-CONF-PRO-000123</v>
          </cell>
          <cell r="D390" t="str">
            <v>ПЭВМ Aquarius Pro K760 (АМПР.466539.823) (MNT/PSU400/i3_13100/DDR5_8G/SSD256_M2_NVMe/WiFi/BT/KM)</v>
          </cell>
        </row>
        <row r="408">
          <cell r="A408" t="str">
            <v>AQ-CONF-PRO-000124</v>
          </cell>
          <cell r="D408" t="str">
            <v>ПЭВМ Aquarius Pro K760 (АМПР.466539.823) (MNT/PSU400/i5_13400/DDR5_8G/SSD256_M2_NVMe/WiFi/BT/KM)</v>
          </cell>
        </row>
        <row r="426">
          <cell r="A426" t="str">
            <v>AQ-CONF-PRO-000125</v>
          </cell>
          <cell r="D426" t="str">
            <v>ПЭВМ Aquarius Pro K760 (АМПР.466539.823) (MNT/PSU400/i5_13400/DDR5_8G/SSD512_M2_NVMe/WiFi/BT/KM)</v>
          </cell>
        </row>
        <row r="445">
          <cell r="A445" t="str">
            <v>AQ-CONF-PRO-000127</v>
          </cell>
          <cell r="D445" t="str">
            <v>ПЭВМ Aquarius Pro K760 (АМПР.466539.823) (MNT/PSU400/i3_14100/DDR5_8G/SSD512_M2_NVMe/WiFi/BT/KM)</v>
          </cell>
        </row>
        <row r="463">
          <cell r="A463" t="str">
            <v>AQ-CONF-PRO-000128</v>
          </cell>
          <cell r="D463" t="str">
            <v>ПЭВМ Aquarius Pro K760 (АМПР.466539.823) (MNT/PSU400/i5_14400/DDR5_16G/SSD512_M2_NVMe/WiFi/BT/KM)</v>
          </cell>
        </row>
        <row r="481">
          <cell r="A481" t="str">
            <v>AQ-CONF-PRO-000122</v>
          </cell>
          <cell r="D481" t="str">
            <v>ПЭВМ Aquarius Pro K760 (АМПР.466539.823) (MNT/PSU400/i7_12700/DDR5_16G/SSD512_M2_NVMe/WiFi/BT/KM)</v>
          </cell>
        </row>
        <row r="499">
          <cell r="A499" t="str">
            <v>AQ-CONF-PRO-000126</v>
          </cell>
          <cell r="D499" t="str">
            <v>ПЭВМ Aquarius Pro K760 (АМПР.466539.823) (MNT/PSU400/i7_13700/DDR5_16G/SSD512_M2_NVMe/WiFi/BT/KM)</v>
          </cell>
        </row>
        <row r="517">
          <cell r="A517" t="str">
            <v>AQ-CONF-PRO-000129</v>
          </cell>
          <cell r="D517" t="str">
            <v>ПЭВМ Aquarius Pro K760 (АМПР.466539.823) (MNT/PSU400/i7_14700/DDR5_16G/SSD512_M2_NVMe/WiFi/BT/KM)</v>
          </cell>
        </row>
        <row r="536">
          <cell r="A536" t="str">
            <v>AQ-CONF-PRO-000131</v>
          </cell>
          <cell r="D536" t="str">
            <v>ПЭВМ Aquarius Pro K790 (АМПР.466539.829) (MDT/PSU400/i5_12400/DDR5_8G/SSD256_M2_NVMe/WiFi/BT/KM)</v>
          </cell>
        </row>
        <row r="554">
          <cell r="A554" t="str">
            <v>AQ-CONF-PRO-000132</v>
          </cell>
          <cell r="D554" t="str">
            <v>ПЭВМ Aquarius Pro K790 (АМПР.466539.829) (MDT/PSU400/i5_12400/DDR5_8G/SSD512_M2_NVMe/WiFi/BT/KM)</v>
          </cell>
        </row>
        <row r="572">
          <cell r="A572" t="str">
            <v>AQ-CONF-PRO-000133</v>
          </cell>
          <cell r="D572" t="str">
            <v>ПЭВМ Aquarius Pro K790 (АМПР.466539.829) (MDT/PSU400/i7_12700/DDR5_16G/SSD512_M2_NVMe/WiFi/BT/KM)</v>
          </cell>
        </row>
        <row r="590">
          <cell r="A590" t="str">
            <v>AQ-CONF-PRO-000135</v>
          </cell>
          <cell r="D590" t="str">
            <v>ПЭВМ Aquarius Pro K790 (АМПР.466539.829) (MDT/PSU400/i5_13400/DDR5_8G/SSD256_M2_NVMe/WiFi/BT/KM)</v>
          </cell>
        </row>
        <row r="608">
          <cell r="A608" t="str">
            <v>AQ-CONF-PRO-000136</v>
          </cell>
          <cell r="D608" t="str">
            <v>ПЭВМ Aquarius Pro K790 (АМПР.466539.829) (MDT/PSU400/i5_13400/DDR5_8G/SSD512_M2_NVMe/WiFi/BT/KM)</v>
          </cell>
        </row>
        <row r="626">
          <cell r="A626" t="str">
            <v>AQ-CONF-PRO-000137</v>
          </cell>
          <cell r="D626" t="str">
            <v>ПЭВМ Aquarius Pro K790 (АМПР.466539.829) (MDT/PSU400/i7_13700/DDR5_16G/SSD512_M2_NVMe/WiFi/BT/KM)</v>
          </cell>
        </row>
        <row r="645">
          <cell r="A645" t="str">
            <v>AQ-CONF-PRO-000139</v>
          </cell>
          <cell r="D645" t="str">
            <v>ПЭВМ Aquarius Pro K790 (АМПР.466539.829) (MDT/PSU400/i5_14400/DDR5_16G/SSD512_M2_NVMe/WiFi/BT/KM)</v>
          </cell>
        </row>
        <row r="663">
          <cell r="A663" t="str">
            <v>AQ-CONF-PRO-000140</v>
          </cell>
          <cell r="D663" t="str">
            <v>ПЭВМ Aquarius Pro K790 (АМПР.466539.829) (MDT/PSU400/i7_14700/DDR5_16G/SSD512_M2_NVMe/WiFi/BT/KM)</v>
          </cell>
        </row>
        <row r="679">
          <cell r="A679" t="str">
            <v>AQ-CONF-MNB-00068</v>
          </cell>
          <cell r="D679" t="str">
            <v>Моноблок Aquarius Mnb Pro T424 (АМПР.466539.831) (23.8"/i3_12100/DDR5_8G/SSD256_M2_NVMe/WiFi/BT/KM)</v>
          </cell>
        </row>
        <row r="694">
          <cell r="A694" t="str">
            <v>AQ-CONF-MNB-00079</v>
          </cell>
          <cell r="D694" t="str">
            <v>Моноблок Aquarius Mnb Pro T424 (АМПР.466539.831) (23.8"/i5_12400/DDR5_8G/SSD256_M2_NVMe/WiFi/BT/KM)</v>
          </cell>
        </row>
        <row r="709">
          <cell r="A709" t="str">
            <v>AQ-CONF-MNB-00070</v>
          </cell>
          <cell r="D709" t="str">
            <v>Моноблок Aquarius Mnb Pro T424 (АМПР.466539.831) (23.8"/i5_12400/DDR5_8G/SSD512_M2_NVMe/WiFi/BT/KM)</v>
          </cell>
        </row>
        <row r="724">
          <cell r="A724" t="str">
            <v>AQ-CONF-MNB-00071</v>
          </cell>
          <cell r="D724" t="str">
            <v>Моноблок Aquarius Mnb Pro T424 (АМПР.466539.831) (23.8"/i7_12700/DDR5_16G/SSD512_M2_NVMe/WiFi/BT/KM)</v>
          </cell>
        </row>
        <row r="739">
          <cell r="A739" t="str">
            <v>AQ-CONF-MNB-00072</v>
          </cell>
          <cell r="D739" t="str">
            <v>Моноблок Aquarius Mnb Pro T424 (АМПР.466539.831) (23.8"/i3_13100/DDR5_8G/SSD256_M2_NVMe/WiFi/BT/KM)</v>
          </cell>
        </row>
        <row r="754">
          <cell r="A754" t="str">
            <v>AQ-CONF-MNB-00073</v>
          </cell>
          <cell r="D754" t="str">
            <v>Моноблок Aquarius Mnb Pro T424 (АМПР.466539.831) (23.8"/i5_13400/DDR5_8G/SSD256_M2_NVMe/WiFi/BT/KM)</v>
          </cell>
        </row>
        <row r="769">
          <cell r="A769" t="str">
            <v>AQ-CONF-MNB-00074</v>
          </cell>
          <cell r="D769" t="str">
            <v>Моноблок Aquarius Mnb Pro T424 (АМПР.466539.831) (23.8"/i5_13400/DDR5_8G/SSD512_M2_NVMe/WiFi/BT/KM)</v>
          </cell>
        </row>
        <row r="784">
          <cell r="A784" t="str">
            <v>AQ-CONF-MNB-00075</v>
          </cell>
          <cell r="D784" t="str">
            <v>Моноблок Aquarius Mnb Pro T424 (АМПР.466539.831) (23.8"/i7_13700/DDR5_16G/SSD512_M2_NVMe/WiFi/BT/KM)</v>
          </cell>
        </row>
        <row r="799">
          <cell r="A799" t="str">
            <v>AQ-CONF-MNB-00076</v>
          </cell>
          <cell r="D799" t="str">
            <v>Моноблок Aquarius Mnb Pro T424 (АМПР.466539.831) (23.8"/i3_14100/DDR5_8G/SSD512_M2_NVMe/WiFi/BT/KM)</v>
          </cell>
        </row>
        <row r="814">
          <cell r="A814" t="str">
            <v>AQ-CONF-MNB-00077</v>
          </cell>
          <cell r="D814" t="str">
            <v>Моноблок Aquarius Mnb Pro T424 (АМПР.466539.831) (23.8"/i5_14400/DDR5_16G/SSD512_M2_NVMe/WiFi/BT/KM)</v>
          </cell>
        </row>
        <row r="829">
          <cell r="A829" t="str">
            <v>AQ-CONF-MNB-00078</v>
          </cell>
          <cell r="D829" t="str">
            <v>Моноблок Aquarius Mnb Pro T424 (АМПР.466539.831) (23.8"/i7_14700/DDR5_16G/SSD512_M2_NVMe/WiFi/BT/KM)</v>
          </cell>
        </row>
        <row r="846">
          <cell r="A846" t="str">
            <v>AQ-CONF-MNB-00069</v>
          </cell>
          <cell r="D846" t="str">
            <v>Моноблок Aquarius Mnb Pro T427 (АМПР.466539.833) (27"/i3_12100/DDR5_8G/SSD256_M2_NVMe/WiFi/BT/KM)</v>
          </cell>
        </row>
        <row r="861">
          <cell r="A861" t="str">
            <v>AQ-CONF-MNB-00080</v>
          </cell>
          <cell r="D861" t="str">
            <v>Моноблок Aquarius Mnb Pro T427 (АМПР.466539.833) (27"/i5_12400/DDR5_8G/SSD256_M2_NVMe/WiFi/BT/KM)</v>
          </cell>
        </row>
        <row r="876">
          <cell r="A876" t="str">
            <v>AQ-CONF-MNB-00081</v>
          </cell>
          <cell r="D876" t="str">
            <v>Моноблок Aquarius Mnb Pro T427 (АМПР.466539.833) (27"/i5_12400/DDR5_8G/SSD512_M2_NVMe/WiFi/BT/KM)</v>
          </cell>
        </row>
        <row r="891">
          <cell r="A891" t="str">
            <v>AQ-CONF-MNB-00082</v>
          </cell>
          <cell r="D891" t="str">
            <v>Моноблок Aquarius Mnb Pro T427 (АМПР.466539.833) (27"/i7_12700/DDR5_16G/SSD512_M2_NVMe/WiFi/BT/KM)</v>
          </cell>
        </row>
        <row r="906">
          <cell r="A906" t="str">
            <v>AQ-CONF-MNB-00083</v>
          </cell>
          <cell r="D906" t="str">
            <v>Моноблок Aquarius Mnb Pro T427 (АМПР.466539.833) (27"/i3_13100/DDR5_8G/SSD256_M2_NVMe/WiFi/BT/KM)</v>
          </cell>
        </row>
        <row r="921">
          <cell r="A921" t="str">
            <v>AQ-CONF-MNB-00084</v>
          </cell>
          <cell r="D921" t="str">
            <v>Моноблок Aquarius Mnb Pro T427 (АМПР.466539.833) (27"/i5_13400/DDR5_8G/SSD256_M2_NVMe/WiFi/BT/KM)</v>
          </cell>
        </row>
        <row r="936">
          <cell r="A936" t="str">
            <v>AQ-CONF-MNB-00085</v>
          </cell>
          <cell r="D936" t="str">
            <v>Моноблок Aquarius Mnb Pro T427 (АМПР.466539.833) (27"/i5_13400/DDR5_8G/SSD512_M2_NVMe/WiFi/BT/KM)</v>
          </cell>
        </row>
        <row r="951">
          <cell r="A951" t="str">
            <v>AQ-CONF-MNB-00086</v>
          </cell>
          <cell r="D951" t="str">
            <v>Моноблок Aquarius Mnb Pro T427 (АМПР.466539.833) (27"/i7_13700/DDR5_16G/SSD512_M2_NVMe/WiFi/BT/KM)</v>
          </cell>
        </row>
        <row r="966">
          <cell r="A966" t="str">
            <v>AQ-CONF-MNB-00087</v>
          </cell>
          <cell r="D966" t="str">
            <v>Моноблок Aquarius Mnb Pro T427 (АМПР.466539.833) (27"/i3_14100/DDR5_8G/SSD512_M2_NVMe/WiFi/BT/KM)</v>
          </cell>
        </row>
        <row r="981">
          <cell r="A981" t="str">
            <v>AQ-CONF-MNB-00088</v>
          </cell>
          <cell r="D981" t="str">
            <v>Моноблок Aquarius Mnb Pro T427 (АМПР.466539.833) (27"/i5_14400/DDR5_16G/SSD512_M2_NVMe/WiFi/BT/KM)</v>
          </cell>
        </row>
        <row r="996">
          <cell r="A996" t="str">
            <v>AQ-CONF-MNB-00089</v>
          </cell>
          <cell r="D996" t="str">
            <v>Моноблок Aquarius Mnb Pro T427 (АМПР.466539.833) (27"/i7_14700/DDR5_16G/SSD512_M2_NVMe/WiFi/BT/KM)</v>
          </cell>
        </row>
      </sheetData>
      <sheetData sheetId="3">
        <row r="20">
          <cell r="A20" t="str">
            <v>AQ-CONF-PRO-00034</v>
          </cell>
          <cell r="D20" t="str">
            <v>ПЭВМ Aquarius Pro P30 K50 USFF1 (АМПР.466539.129) (USFF/i3_12100/DDR4_8G/SSD256_M2_NVMe/WiFi/BT/KM)</v>
          </cell>
        </row>
        <row r="37">
          <cell r="A37" t="str">
            <v>AQ-CONF-PRO-00039</v>
          </cell>
          <cell r="D37" t="str">
            <v>ПЭВМ Aquarius Pro P30 K50 USFF1 (АМПР.466539.129) (USFF/i5_12400/DDR4_8G/SSD256_M2_NVMe/WiFi/BT/KM)</v>
          </cell>
        </row>
        <row r="53">
          <cell r="A53" t="str">
            <v>AQ-CONF-PRO-00037</v>
          </cell>
          <cell r="D53" t="str">
            <v>ПЭВМ Aquarius Pro P30 K50 USFF1 (АМПР.466539.129) (USFF/i5_12400/DDR4_8G/SSD512_M2_NVMe/WiFi/BT/KM)</v>
          </cell>
        </row>
        <row r="70">
          <cell r="A70" t="str">
            <v>AQ-CONF-PRO-00040</v>
          </cell>
          <cell r="D70" t="str">
            <v>ПЭВМ Aquarius Pro P30 K50 USFF1 (АМПР.466539.129) (USFF/i7_12700/DDR4_16G/SSD512_M2_NVMe/WiFi/BT/KM)</v>
          </cell>
        </row>
        <row r="87">
          <cell r="A87" t="str">
            <v>AQ-CONF-PRO-000141</v>
          </cell>
          <cell r="D87" t="str">
            <v>ПЭВМ Aquarius Pro P30 K50 USFF1 (АМПР.466539.129) (USFF/i3_13100/DDR4_8G/SSD256_M2_NVMe/WiFi/BT/KM)</v>
          </cell>
        </row>
        <row r="104">
          <cell r="A104" t="str">
            <v>AQ-CONF-PRO-000146</v>
          </cell>
          <cell r="D104" t="str">
            <v>ПЭВМ Aquarius Pro P30 K50 USFF1 (АМПР.466539.129) (USFF/i5_13400/DDR4_8G/SSD256_M2_NVMe/WiFi/BT/KM)</v>
          </cell>
        </row>
        <row r="121">
          <cell r="A121" t="str">
            <v>AQ-CONF-PRO-00074</v>
          </cell>
          <cell r="D121" t="str">
            <v>ПЭВМ Aquarius Pro P30 K50 USFF1 (АМПР.466539.129) (USFF/i5_13400/DDR4_8G/SSD512_M2_NVMe/WiFi/BT/KM)</v>
          </cell>
        </row>
        <row r="138">
          <cell r="A138" t="str">
            <v>AQ-CONF-PRO-00147</v>
          </cell>
          <cell r="D138" t="str">
            <v>ПЭВМ Aquarius Pro P30 K50 USFF1 (АМПР.466539.129) (USFF/i7_13700/DDR4_16G/SSD512_M2_NVMe/WiFi/BT/KM)</v>
          </cell>
        </row>
        <row r="155">
          <cell r="A155" t="str">
            <v>AQ-CONF-PRO-00066</v>
          </cell>
          <cell r="D155" t="str">
            <v>ПЭВМ Aquarius Pro P30 K50 USFF1 (АМПР.466539.129) (USFF/i3_14100/DDR4_8G/SSD512_M2_NVMe/WiFi/BT/KM)</v>
          </cell>
        </row>
        <row r="172">
          <cell r="A172" t="str">
            <v>AQ-CONF-PRO-00067</v>
          </cell>
          <cell r="D172" t="str">
            <v>ПЭВМ Aquarius Pro P30 K50 USFF1 (АМПР.466539.129) (USFF/i5_14400/DDR4_16G/SSD512_M2_NVMe/WiFi/BT/KM)</v>
          </cell>
        </row>
        <row r="189">
          <cell r="A189" t="str">
            <v>AQ-CONF-PRO-00081</v>
          </cell>
          <cell r="D189" t="str">
            <v>ПЭВМ Aquarius Pro P30 K50 USFF1 (АМПР.466539.129) (USFF/i7_14700/DDR4_16G/SSD512_M2_NVMe/WiFi/BT/KM)</v>
          </cell>
        </row>
        <row r="224">
          <cell r="A224" t="str">
            <v>AQ-CONF-PRO-00043</v>
          </cell>
          <cell r="D224" t="str">
            <v>ПЭВМ Aquarius Pro P30 K51 USFF1 (АМПР.466539.135) (USFF/i3_12100/DDR4_8G/SSD256_M2_NVMe/WiFi/BT/KM)</v>
          </cell>
        </row>
        <row r="242">
          <cell r="A242" t="str">
            <v>AQ-CONF-PRO-00048</v>
          </cell>
          <cell r="D242" t="str">
            <v>ПЭВМ Aquarius Pro P30 K51 USFF1 (АМПР.466539.135) (USFF/i5_12400/DDR4_8G/SSD256_M2_NVMe/WiFi/BT/KM)</v>
          </cell>
        </row>
        <row r="258">
          <cell r="A258" t="str">
            <v>AQ-CONF-PRO-00046</v>
          </cell>
          <cell r="D258" t="str">
            <v>ПЭВМ Aquarius Pro P30 K51 USFF1 (АМПР.466539.135) (USFF/i5_12400/DDR4_8G/SSD512_M2_NVMe/WiFi/BT/KM)</v>
          </cell>
        </row>
        <row r="274">
          <cell r="A274" t="str">
            <v>AQ-CONF-PRO-00152</v>
          </cell>
          <cell r="D274" t="str">
            <v>ПЭВМ Aquarius Pro P30 K51 USFF1 (АМПР.466539.135) (USFF/i5_12400/DDR4_16G/SSD512_M2_NVMe/WiFi/BT/KM)</v>
          </cell>
        </row>
        <row r="291">
          <cell r="A291" t="str">
            <v>AQ-CONF-PRO-00049</v>
          </cell>
          <cell r="D291" t="str">
            <v>ПЭВМ Aquarius Pro P30 K51 USFF1 (АМПР.466539.135) (USFF/i7_12700/DDR4_16G/SSD512_M2_NVMe/WiFi/BT/KM)</v>
          </cell>
        </row>
        <row r="309">
          <cell r="A309" t="str">
            <v>AQ-CONF-PRO-000142</v>
          </cell>
          <cell r="D309" t="str">
            <v>ПЭВМ Aquarius Pro P30 K51 USFF1 (АМПР.466539.135) (USFF/i3_13100/DDR4_8G/SSD256_M2_NVMe/WiFi/BT/KM)</v>
          </cell>
        </row>
        <row r="327">
          <cell r="A327" t="str">
            <v>AQ-CONF-PRO-000143</v>
          </cell>
          <cell r="D327" t="str">
            <v>ПЭВМ Aquarius Pro P30 K51 USFF1 (АМПР.466539.135) (USFF/i5_13400/DDR4_8G/SSD256_M2_NVMe/WiFi/BT/KM)</v>
          </cell>
        </row>
        <row r="343">
          <cell r="A343" t="str">
            <v>AQ-CONF-PRO-00079</v>
          </cell>
          <cell r="D343" t="str">
            <v>ПЭВМ Aquarius Pro P30 K51 USFF1 (АМПР.466539.135) (USFF/i5_13400/DDR4_8G/SSD512_M2_NVMe/WiFi/BT/KM)</v>
          </cell>
        </row>
        <row r="363">
          <cell r="A363" t="str">
            <v>AQ-CONF-PRO-000144</v>
          </cell>
          <cell r="D363" t="str">
            <v>ПЭВМ Aquarius Pro P30 K51 USFF1 (АМПР.466539.135) (USFF/i7_13700/DDR4_16G/SSD512_M2_NVMe/WiFi/BT/KM)</v>
          </cell>
        </row>
        <row r="381">
          <cell r="A381" t="str">
            <v>AQ-CONF-PRO-00082</v>
          </cell>
          <cell r="D381" t="str">
            <v>ПЭВМ Aquarius Pro P30 K51 USFF1 (АМПР.466539.135) (USFF/i3_14100/DDR4_8G/SSD512_M2_NVMe/WiFi/BT/KM)</v>
          </cell>
        </row>
        <row r="399">
          <cell r="A399" t="str">
            <v>AQ-CONF-PRO-00083</v>
          </cell>
          <cell r="D399" t="str">
            <v>ПЭВМ Aquarius Pro P30 K51 USFF1 (АМПР.466539.135) (USFF/i5_14400/DDR4_16G/SSD512_M2_NVMe/WiFi/BT/KM)</v>
          </cell>
        </row>
        <row r="417">
          <cell r="A417" t="str">
            <v>AQ-CONF-PRO-000145</v>
          </cell>
          <cell r="D417" t="str">
            <v>ПЭВМ Aquarius Pro P30 K51 USFF1 (АМПР.466539.135) (USFF/i7_14700/DDR4_16G/SSD256_M2_NVMe/WiFi/BT/KM)</v>
          </cell>
        </row>
        <row r="432">
          <cell r="A432" t="str">
            <v>AQ-CONF-MNB-00020</v>
          </cell>
          <cell r="D432" t="str">
            <v>Моноблок Aquarius Mnb Pro T924 (АМПР.466539.438) (23,8"/i3_12100/DDR4_8G/SSD256_M2_NVMe/WiFi/BT/KM)</v>
          </cell>
        </row>
        <row r="448">
          <cell r="A448" t="str">
            <v>AQ-CONF-MNB-00023</v>
          </cell>
          <cell r="D448" t="str">
            <v>Моноблок Aquarius Mnb Pro T924 (АМПР.466539.438) (23,8"/i5_12400/DDR4_8G/SSD256_M2_NVMe/WiFi/BT/KM)</v>
          </cell>
        </row>
        <row r="462">
          <cell r="A462" t="str">
            <v>AQ-CONF-MNB-00045</v>
          </cell>
          <cell r="D462" t="str">
            <v>Моноблок Aquarius Mnb Pro T924 (АМПР.466539.438) (23,8"/i5_12400/DDR4_8G/SSD512_M2_NVMe/WiFi/BT/KM)</v>
          </cell>
        </row>
        <row r="480">
          <cell r="A480" t="str">
            <v>AQ-CONF-MNB-00048</v>
          </cell>
          <cell r="D480" t="str">
            <v>Моноблок Aquarius Mnb Pro T924 (АМПР.466539.438) (23,8"/i7_12700/DDR4_16G/SSD512_M2_NVMe/WiFi/BT/KM)</v>
          </cell>
        </row>
        <row r="496">
          <cell r="A496" t="str">
            <v>AQ-CONF-MNB-00100</v>
          </cell>
          <cell r="D496" t="str">
            <v>Моноблок Aquarius Mnb Pro T924 (АМПР.466539.438) (23,8"/i3_13100/DDR4_8G/SSD256_M2_NVMe/WiFi/BT/KM)</v>
          </cell>
        </row>
        <row r="512">
          <cell r="A512" t="str">
            <v>AQ-CONF-MNB-00101</v>
          </cell>
          <cell r="D512" t="str">
            <v>Моноблок Aquarius Mnb Pro T924 (АМПР.466539.438) (23,8"/i5_13400/DDR4_8G/SSD256_M2_NVMe/WiFi/BT/KM)</v>
          </cell>
        </row>
        <row r="526">
          <cell r="A526" t="str">
            <v>AQ-CONF-MNB-00050</v>
          </cell>
          <cell r="D526" t="str">
            <v>Моноблок Aquarius Mnb Pro T924 (АМПР.466539.438) (23,8"/i5_13400/DDR4_8G/SSD512_M2_NVMe/WiFi/BT/KM)</v>
          </cell>
        </row>
        <row r="544">
          <cell r="A544" t="str">
            <v>AQ-CONF-MNB-00102</v>
          </cell>
          <cell r="D544" t="str">
            <v>Моноблок Aquarius Mnb Pro T924 (АМПР.466539.438) (23,8"/i7_13700/DDR4_16G/SSD512_M2_NVMe/WiFi/BT/KM)</v>
          </cell>
        </row>
        <row r="560">
          <cell r="A560" t="str">
            <v>AQ-CONF-MNB-00053</v>
          </cell>
          <cell r="D560" t="str">
            <v>Моноблок Aquarius Mnb Pro T924 (АМПР.466539.438) (23,8"/i3_14100/DDR4_8G/SSD512_M2_NVMe/WiFi/BT/KM)</v>
          </cell>
        </row>
        <row r="576">
          <cell r="A576" t="str">
            <v>AQ-CONF-MNB-00055</v>
          </cell>
          <cell r="D576" t="str">
            <v>Моноблок Aquarius Mnb Pro T924 (АМПР.466539.438) (23,8"/i5_14400/DDR4_16G/SSD512_M2_NVMe/WiFi/BT/KM)</v>
          </cell>
        </row>
        <row r="592">
          <cell r="A592" t="str">
            <v>AQ-CONF-MNB-00103</v>
          </cell>
          <cell r="D592" t="str">
            <v>Моноблок Aquarius Mnb Pro T924 (АМПР.466539.438) (23,8"/i7_14700/DDR4_16G/SSD512_M2_NVMe/WiFi/BT/KM)</v>
          </cell>
        </row>
        <row r="608">
          <cell r="A608" t="str">
            <v>AQ-CONF-MNB-00029</v>
          </cell>
          <cell r="D608" t="str">
            <v>Моноблок Aquarius Mnb Pro T927 (АМПР.466539.305) (27"/i3_12100/DDR4_8G/SSD256_M2_NVMe/WiFi/BT/KM)</v>
          </cell>
        </row>
        <row r="624">
          <cell r="A624" t="str">
            <v>AQ-CONF-MNB-00032</v>
          </cell>
          <cell r="D624" t="str">
            <v>Моноблок Aquarius Mnb Pro T927 (АМПР.466539.305) (27"/i5_12400/DDR4_8G/SSD256_M2_NVMe/WiFi/BT/KM)</v>
          </cell>
        </row>
        <row r="638">
          <cell r="A638" t="str">
            <v>AQ-CONF-MNB-00057</v>
          </cell>
          <cell r="D638" t="str">
            <v>Моноблок Aquarius Mnb Pro T927 (АМПР.466539.305) (27"/i5_12400/DDR4_8G/SSD512_M2_NVMe/WiFi/BT/KM)</v>
          </cell>
        </row>
        <row r="654">
          <cell r="A654" t="str">
            <v>AQ-CONF-MNB-00060</v>
          </cell>
          <cell r="D654" t="str">
            <v>Моноблок Aquarius Mnb Pro T927 (АМПР.466539.305) (27"/i7_12700/DDR4_16G/SSD512_M2_NVMe/WiFi/BT/KM)</v>
          </cell>
        </row>
        <row r="669">
          <cell r="A669" t="str">
            <v>AQ-CONF-MNB-00105</v>
          </cell>
          <cell r="D669" t="str">
            <v>Моноблок Aquarius Mnb Pro T927 (АМПР.466539.305) (27"/i3_13100/DDR4_8G/SSD256_M2_NVMe/WiFi/BT/KM)</v>
          </cell>
        </row>
        <row r="684">
          <cell r="A684" t="str">
            <v>AQ-CONF-MNB-00062</v>
          </cell>
          <cell r="D684" t="str">
            <v>Моноблок Aquarius Mnb Pro T927 (АМПР.466539.305) (27"/i5_13400/DDR4_8G/SSD256_M2_NVMe/WiFi/BT/KM)</v>
          </cell>
        </row>
        <row r="698">
          <cell r="A698" t="str">
            <v>AQ-CONF-MNB-00108</v>
          </cell>
          <cell r="D698" t="str">
            <v>Моноблок Aquarius Mnb Pro T927 (АМПР.466539.305) (27"/i5_13400/DDR4_8G/SSD512_M2_NVMe/WiFi/BT/KM)</v>
          </cell>
        </row>
        <row r="714">
          <cell r="A714" t="str">
            <v>AQ-CONF-MNB-00106</v>
          </cell>
          <cell r="D714" t="str">
            <v>Моноблок Aquarius Mnb Pro T927 (АМПР.466539.305) (27"/i7_13700/DDR4_16G/SSD512_M2_NVMe/WiFi/BT/KM)</v>
          </cell>
        </row>
        <row r="729">
          <cell r="A729" t="str">
            <v>AQ-CONF-MNB-00065</v>
          </cell>
          <cell r="D729" t="str">
            <v>Моноблок Aquarius Mnb Pro T927 (АМПР.466539.305) (27"/i3_14100/DDR4_8G/SSD512_M2_NVMe/WiFi/BT/KM)</v>
          </cell>
        </row>
        <row r="744">
          <cell r="A744" t="str">
            <v>AQ-CONF-MNB-00067</v>
          </cell>
          <cell r="D744" t="str">
            <v>Моноблок Aquarius Mnb Pro T927 (АМПР.466539.305) (27"/i5_14400/DDR4_16G/SSD512_M2_NVMe/WiFi/BT/KM)</v>
          </cell>
        </row>
        <row r="759">
          <cell r="A759" t="str">
            <v>AQ-CONF-MNB-00107</v>
          </cell>
          <cell r="D759" t="str">
            <v>Моноблок Aquarius Mnb Pro T927 (АМПР.466539.305) (27"/i7_14700/DDR4_16G/SSD512_M2_NVMe/WiFi/BT/KM)</v>
          </cell>
        </row>
      </sheetData>
      <sheetData sheetId="4"/>
      <sheetData sheetId="5">
        <row r="20">
          <cell r="A20" t="str">
            <v>AQ-CONF-PRO-00024</v>
          </cell>
          <cell r="D20" t="str">
            <v>ПЭВМ Aquarius Pro P30 K43 USFF1 (АМПР.466539.427) (USFF/i3_10100/DDR4_8G/SSD256_M2_NVMe/WiFi/BT/KM)</v>
          </cell>
        </row>
        <row r="36">
          <cell r="A36" t="str">
            <v>AQ-CONF-PRO-00016</v>
          </cell>
          <cell r="D36" t="str">
            <v>ПЭВМ Aquarius Pro P30 K43 USFF1 (АМПР.466539.427) (USFF/i5_10500/DDR4_8G/SSD512_M2_NVMe/WiFi/BT/KM)</v>
          </cell>
        </row>
        <row r="53">
          <cell r="A53" t="str">
            <v>AQ-CONF-MNB-00002</v>
          </cell>
          <cell r="D53" t="str">
            <v>Моноблок Aquarius Mnb Pro T904 (АМПР.466539.421) (23.8"/i3_10100/DDR4_8G/SSD256_M2_NVMe/WiFi/BT/KM)</v>
          </cell>
        </row>
        <row r="67">
          <cell r="A67" t="str">
            <v>AQ-CONF-MNB-00039</v>
          </cell>
          <cell r="D67" t="str">
            <v>Моноблок Aquarius Mnb Pro T904 (АМПР.466539.421) (23.8"/i5_10500/DDR4_8G/SSD256_M2_NVMe/WiFi/BT/KM)</v>
          </cell>
        </row>
        <row r="81">
          <cell r="A81" t="str">
            <v>AQ-CONF-MNB-00016</v>
          </cell>
          <cell r="D81" t="str">
            <v>Моноблок Aquarius Mnb Pro T907 (АМПР.466539.302) (27"/i3_10100/DDR4_8G/SSD256_M2_NVMe/WiFi/BT/KM)</v>
          </cell>
        </row>
        <row r="94">
          <cell r="A94" t="str">
            <v>AQ-CONF-MNB-00014</v>
          </cell>
          <cell r="D94" t="str">
            <v>Моноблок Aquarius Mnb Pro T907 (АМПР.466539.302) (27"/i5_10500/DDR4_8G/SSD256_M2_NVMe/WiFi/BT/KM)</v>
          </cell>
        </row>
        <row r="107">
          <cell r="A107" t="str">
            <v>AQ-CONF-MNB-00110</v>
          </cell>
          <cell r="D107" t="str">
            <v>Моноблок Aquarius Mnb Pro T904 (АМПР.466539.421) (23.8"/i5_10500/DDR4_8G/SSD256_M2_SATA/WiFi/BT)</v>
          </cell>
        </row>
      </sheetData>
      <sheetData sheetId="6">
        <row r="19">
          <cell r="A19" t="str">
            <v>AQ-CONF-PRO-000150</v>
          </cell>
          <cell r="D19" t="str">
            <v>Рабочая станция Aquarius Pro G40 S90 (АМПР.466539.416) (MDT/PSU750/E-2244G/DDR4_8G/SSD_256GB/KM)</v>
          </cell>
        </row>
      </sheetData>
      <sheetData sheetId="7">
        <row r="23">
          <cell r="A23" t="str">
            <v>AQ-CONF-PRO-00148</v>
          </cell>
          <cell r="D23" t="str">
            <v>ПЭВМ Aquarius Pro P30 K45 mini-Tower (АМПР.466539.435) (MNT/PSU400/R5_5600G/DDR4_8G/SSD256_M2_NVMe/WiFi/BT/KM)</v>
          </cell>
        </row>
        <row r="42">
          <cell r="A42" t="str">
            <v>AQ-CONF-PRO-00149</v>
          </cell>
          <cell r="D42" t="str">
            <v>ПЭВМ Aquarius Pro P30 K45 mini-Tower (АМПР.466539.435) (MNT/PSU400/Ath_3000G/DDR4_8G/SSD256_M2_NVMe/WiFi/BT/KM)</v>
          </cell>
        </row>
        <row r="102">
          <cell r="A102" t="str">
            <v>AQ-CONF-PRO-00150</v>
          </cell>
          <cell r="D102" t="str">
            <v>ПЭВМ Aquarius Pro P30 K45 SFF1 (АМПР.466539.458) (SFF_300/R5_5600G/DDR4_8G/SSD256_M2_NVMe/WiFi/BT/KM)</v>
          </cell>
        </row>
        <row r="121">
          <cell r="A121" t="str">
            <v>AQ-CONF-PRO-00151</v>
          </cell>
          <cell r="D121" t="str">
            <v>ПЭВМ Aquarius Pro P30 K45 SFF1 (АМПР.466539.458) (SFF_300/Ath_3000G/DDR4_8G/SSD256_M2_NVMe/WiFi/BT/KM)</v>
          </cell>
        </row>
        <row r="174">
          <cell r="A174" t="str">
            <v>AQ-CONF-MNB-00104</v>
          </cell>
          <cell r="D174" t="str">
            <v>Моноблок Aquarius Mnb Pro T314 (АМПР.466539.446) (23.8"/R5_5600G/DDR4_8G/SSD256_M2_NVMe/WiFi/BT/KM)</v>
          </cell>
        </row>
      </sheetData>
      <sheetData sheetId="8">
        <row r="11">
          <cell r="A11" t="str">
            <v>AQ-CONF-NB-00001</v>
          </cell>
          <cell r="D11" t="str">
            <v>Ноутбук-трансформер Aquarius Cmp NS483 (АМПР.466539.505) (14" FHD/i5_8250U/LPDDR4_8GB/SSD256_M2/WiFi/BT)</v>
          </cell>
        </row>
        <row r="23">
          <cell r="A23" t="str">
            <v>AQ-CONF-NB-00002</v>
          </cell>
          <cell r="D23" t="str">
            <v>Ноутбук-трансформер Aquarius CMP NS483 (Исп.2) (АМПР.466539.505-02) (14" FHD/i3_1125G4/LPDDR4_16G/SSD256_M2/WIFi/BT//DS)</v>
          </cell>
        </row>
        <row r="36">
          <cell r="A36" t="str">
            <v>AQ-CONF-NB-00009</v>
          </cell>
          <cell r="D36" t="str">
            <v>Ноутбук-трансформер Aquarius CMP NS483 (Исп.2) (АМПР.466539.505-02) (14" FHD/i5_1155G7/LPDDR4_16G/SSD256_M2/WIFi/BT//DS)</v>
          </cell>
        </row>
        <row r="47">
          <cell r="A47" t="str">
            <v>AQ-CONF-NB-00101</v>
          </cell>
          <cell r="D47" t="str">
            <v>Ноутбук-трансформер Aquarius CMP NS483 (Исп.2) (АМПР.466539.505-02) (14" FHD/i5_1155G7/LPDDR4_16G/SSD512_M2/WIFi/BT//DS)</v>
          </cell>
        </row>
        <row r="60">
          <cell r="A60" t="str">
            <v>AQ-CONF-NB-00028</v>
          </cell>
        </row>
        <row r="70">
          <cell r="A70" t="str">
            <v>AQ-CONF-NB-00100</v>
          </cell>
          <cell r="D70" t="str">
            <v>Машина портативная персональная электронно-вычислительная Aquarius Cmp NS934 (АМПР.466539.226) (14" WUXGA(FHD)/i7_1360P/DDR5_16G/SSD_512GB_M2/WiFi/BT)</v>
          </cell>
        </row>
        <row r="82">
          <cell r="A82" t="str">
            <v>AQ-CONF-NB-00018</v>
          </cell>
          <cell r="D82" t="str">
            <v>Машина портативная персональная электронно-вычислительная Aquarius Cmp NS634 (АМПР.466539.267) (14" WUXGA(FHD)/i5_1235U/DDR5_8G/SSD256_M2_NVMe/WiFi/BT/DS)</v>
          </cell>
        </row>
        <row r="95">
          <cell r="A95" t="str">
            <v>AQ-CONF-NB-00033</v>
          </cell>
          <cell r="D95" t="str">
            <v>Машина портативная персональная электронно-вычислительная Aquarius Cmp NS634 (АМПР.466539.267) (14" WUXGA(FHD)/i5_1235U/DDR5_8G/SSD512_M2_NVMe/WiFi/BT)</v>
          </cell>
        </row>
        <row r="105">
          <cell r="A105" t="str">
            <v>AQ-CONF-NB-00102</v>
          </cell>
          <cell r="D105" t="str">
            <v>Машина портативная персональная электронно-вычислительная Aquarius Cmp NS634 (АМПР.466539.267) (14" WUXGA(FHD)/i5_1235U/DDR5_16G/SSD512_M2_NVMe/WiFi/BT)</v>
          </cell>
        </row>
        <row r="117">
          <cell r="A117" t="str">
            <v>AQ-CONF-NB-00017</v>
          </cell>
          <cell r="D117" t="str">
            <v>Машина портативная персональная электронно-вычислительная Aquarius Cmp NS634 (АМПР.466539.267) (14" WUXGA(FHD)/i3_1215U/DDR5_8G/SSD256_M2_NVMe/WiFi/BT/DS)</v>
          </cell>
        </row>
        <row r="131">
          <cell r="A131" t="str">
            <v>AQ-CONF-NB-00019</v>
          </cell>
          <cell r="D131" t="str">
            <v>Машина портативная персональная электронно-вычислительная Aquarius Cmp NS634 (АМПР.466539.267) (14" WUXGA(FHD)/i5_1335U/DDR5_8G/SSD256_M2_NVMe/WiFi/BT/DS)</v>
          </cell>
        </row>
        <row r="145">
          <cell r="A145" t="str">
            <v>AQ-CONF-NB-00034</v>
          </cell>
          <cell r="D145" t="str">
            <v>Машина портативная персональная электронно-вычислительная Aquarius Cmp NS634 (АМПР.466539.267) (14" WUXGA(FHD)/i5_1335U/DDR5_8G/SSD512_M2_NVMe/WiFi/BT)</v>
          </cell>
        </row>
        <row r="155">
          <cell r="A155" t="str">
            <v>AQ-CONF-NB-00103</v>
          </cell>
          <cell r="D155" t="str">
            <v>Машина портативная персональная электронно-вычислительная Aquarius Cmp NS634 (АМПР.466539.267) (14" WUXGA(FHD)/i5_1335U/DDR5_16G/SSD512_M2_NVMe/WiFi/BT)</v>
          </cell>
        </row>
        <row r="180">
          <cell r="A180" t="str">
            <v>AQ-CONF-NB-00035</v>
          </cell>
          <cell r="D180" t="str">
            <v>Машина портативная персональная электронно-вычислительная Aquarius Cmp NS634 (АМПР.466539.267) (14" WUXGA(FHD)/i7_1355U/DDR5_16G/SSD512_M2_NVMe/WiFi/BT)</v>
          </cell>
        </row>
        <row r="206">
          <cell r="A206" t="str">
            <v>AQ-CONF-NB-00036</v>
          </cell>
          <cell r="D206" t="str">
            <v>Машина портативная персональная электронно-вычислительная Aquarius Cmp NS634 (АМПР.466539.267) (14" WUXGA(FHD)/C5_120U/DDR5_8G/SSD512_M2_NVMe/WiFi/BT)</v>
          </cell>
        </row>
      </sheetData>
      <sheetData sheetId="9">
        <row r="13">
          <cell r="A13" t="str">
            <v>AQ-CONF-NB-00005</v>
          </cell>
          <cell r="D13" t="str">
            <v>Машина портативная персональная электронно-вычислительная Aquarius CMP NS685U R11 (Исп.3) (АМПР.466539.066) (15,6" FHD /i5_10210U/DDR4_8G/SSD256_M2/WiFi/BT)</v>
          </cell>
        </row>
        <row r="24">
          <cell r="A24" t="str">
            <v>AQ-CONF-NB-00006</v>
          </cell>
          <cell r="D24" t="str">
            <v>Машина портативная персональная электронно-вычислительная Aquarius CMP NS685U Исполнение 4 (АМПР.466539.208-04) (15,6" FHD /i3_1125G4/DDR4_8G/SSD256_M2_NVMe/WiFi/BT)</v>
          </cell>
        </row>
        <row r="36">
          <cell r="A36" t="str">
            <v>AQ-CONF-NB-00012</v>
          </cell>
          <cell r="D36" t="str">
            <v>Машина портативная персональная электронно-вычислительная Aquarius CMP NS685U Исполнение 4 (АМПР.466539.208-04) (15,6" FHD /i5_1155G7/DDR4_8G/SSD256_M2_NVMe/WiFi/BT)</v>
          </cell>
        </row>
        <row r="49">
          <cell r="A49" t="str">
            <v>AQ-CONF-NB-00013</v>
          </cell>
          <cell r="D49" t="str">
            <v>Машина портативная персональная электронно-вычислительная Aquarius CMP NS685U Исполнение 4 (АМПР.466539.208-04) (15,6" FHD /i7_1195G7/DDR4_8G/SSD256_M2_NVMe/WiFi/BT)</v>
          </cell>
        </row>
        <row r="61">
          <cell r="A61" t="str">
            <v>AQ-CONF-NB-00014</v>
          </cell>
          <cell r="D61" t="str">
            <v>Машина портативная персональная электронно-вычислительная Aquarius Cmp NS616 (АМПР.466539.072) (16" WQXGA(QHD)/i5_1155G7/DDR4_8G/SSD256_M2_NVMe/WiFi/BT)</v>
          </cell>
        </row>
        <row r="74">
          <cell r="A74" t="str">
            <v>AQ-CONF-NB-00015</v>
          </cell>
          <cell r="D74" t="str">
            <v>Машина портативная персональная электронно-вычислительная Aquarius Cmp NS616 (АМПР.466539.072) (16" WQXGA(QHD)/i7_1195G7/DDR4_8G/SSD256_M2_NVMe/WiFi/BT)</v>
          </cell>
        </row>
        <row r="87">
          <cell r="A87" t="str">
            <v>AQ-CONF-NB-00027</v>
          </cell>
          <cell r="D87" t="str">
            <v>Машина портативная персональная электронно-вычислительная Aquarius Cmp NS626 (АМПР.466539.216) (16" WQXGA(QHD)/i5_1235U/DDR4_8G/SSD256_M2_NVMe/WiFi/BT)</v>
          </cell>
        </row>
        <row r="101">
          <cell r="A101" t="str">
            <v>AQ-CONF-NB-00023</v>
          </cell>
          <cell r="D101" t="str">
            <v>Машина портативная персональная электронно-вычислительная Aquarius Cmp NS636 (АМПР.466539.269) (16" WUXGA(FHD)/i5_1235U/DDR5_8G/SSD256_M2_NVMe/WiFi/BT/DS)</v>
          </cell>
        </row>
        <row r="114">
          <cell r="A114" t="str">
            <v>AQ-CONF-NB-00037</v>
          </cell>
          <cell r="D114" t="str">
            <v>Машина портативная персональная электронно-вычислительная Aquarius Cmp NS636 (АМПР.466539.269) (16" WUXGA(FHD)/i5_1235U/DDR5_8G/SSD512_M2_NVMe/WiFi/BT)</v>
          </cell>
        </row>
        <row r="124">
          <cell r="A124" t="str">
            <v>AQ-CONF-NB-00104</v>
          </cell>
          <cell r="D124" t="str">
            <v>Машина портативная персональная электронно-вычислительная Aquarius Cmp NS636 (АМПР.466539.269) (16" WUXGA(FHD)/i5_1235U/DDR5_16G/SSD512_M2_NVMe/WiFi/BT)</v>
          </cell>
        </row>
        <row r="136">
          <cell r="A136" t="str">
            <v>AQ-CONF-NB-00022</v>
          </cell>
          <cell r="D136" t="str">
            <v>Машина портативная персональная электронно-вычислительная Aquarius Cmp NS636 (АМПР.466539.269) (16" WUXGA(FHD)/i3_1215U/DDR5_8G/SSD256_M2_NVMe/WiFi/BT/DS)</v>
          </cell>
        </row>
        <row r="150">
          <cell r="A150" t="str">
            <v>AQ-CONF-NB-00024</v>
          </cell>
          <cell r="D150" t="str">
            <v>Машина портативная персональная электронно-вычислительная Aquarius Cmp NS636 (АМПР.466539.269) (16" WUXGA(FHD)/i5_1335U/DDR5_8G/SSD256_M2_NVMe/WiFi/BT/DS)</v>
          </cell>
        </row>
        <row r="163">
          <cell r="A163" t="str">
            <v>AQ-CONF-NB-00038</v>
          </cell>
          <cell r="D163" t="str">
            <v>Машина портативная персональная электронно-вычислительная Aquarius Cmp NS636 (АМПР.466539.269) (16" WUXGA(FHD)/i5_1335U/DDR5_8G/SSD512_M2_NVMe/WiFi/BT)</v>
          </cell>
        </row>
        <row r="188">
          <cell r="A188" t="str">
            <v>AQ-CONF-NB-00039</v>
          </cell>
          <cell r="D188" t="str">
            <v>Машина портативная персональная электронно-вычислительная Aquarius Cmp NS636 (АМПР.466539.269) (16" WQXGA(QHD)/i7_1355U/DDR5_16G/SSD512_M2_NVMe/WiFi/BT)</v>
          </cell>
        </row>
        <row r="214">
          <cell r="A214" t="str">
            <v>AQ-CONF-NB-00040</v>
          </cell>
          <cell r="D214" t="str">
            <v>Машина портативная персональная электронно-вычислительная Aquarius Cmp NS636 (АМПР.466539.269) (16" WQXGA(QHD)/C5_120U/DDR5_8G/SSD512_M2_NVMe/WiFi/BT)</v>
          </cell>
        </row>
        <row r="226">
          <cell r="A226" t="str">
            <v>AQ-CONF-NB-00016</v>
          </cell>
          <cell r="D226" t="str">
            <v>Машина портативная персональная электронно-вычислительная Aquarius Cmp NE355 (АМПР.466539.200) (15,6" FHD/R5_6600H/DDR5_8G/SSD256_M2_NVMe/WiFi/BT)</v>
          </cell>
        </row>
        <row r="240">
          <cell r="A240" t="str">
            <v>AQ-CONF-NB-00032</v>
          </cell>
          <cell r="D240" t="str">
            <v>Машина портативная персональная электронно-вычислительная Aquarius Cmp NE356 (АМПР.466539.201) (16" WUXGA(FHD)/R5_6600H/DDR5_8G/SSD256_M2_NVMe/WiFi/BT)</v>
          </cell>
        </row>
      </sheetData>
      <sheetData sheetId="10">
        <row r="13">
          <cell r="A13" t="str">
            <v>AQ-CONF-NB-00029</v>
          </cell>
          <cell r="D13" t="str">
            <v>Ноутбук в защищенном исполнении Aquarius Cmp NS715R (АМПР.466539.260) (15,6" FHD/i5_1135G7/LPDDR4_16G/SSD512_M2_NVMe)</v>
          </cell>
        </row>
        <row r="26">
          <cell r="A26" t="str">
            <v>AQ-CONF-NB-00030</v>
          </cell>
          <cell r="D26" t="str">
            <v>Ноутбук в защищенном исполнении Aquarius Cmp NS715R (АМПР.466539.260) (15,6" FHD/i5_1135G7/LPDDR4_16G/SSD512_M2_NVMe/WIFI/BT/LTE)</v>
          </cell>
        </row>
        <row r="39">
          <cell r="A39" t="str">
            <v>AQ-CONF-NB-00031</v>
          </cell>
          <cell r="D39" t="str">
            <v>Ноутбук в защищенном исполнении Aquarius Cmp NS715R (АМПР.466539.260) (15,6" FHD/i7_1165G7/LPDDR4_16G/SSD512_M2_NVMe/WIFI/BT/LTE)</v>
          </cell>
        </row>
      </sheetData>
      <sheetData sheetId="11"/>
      <sheetData sheetId="12">
        <row r="7">
          <cell r="A7" t="str">
            <v>AQC-MON-00002</v>
          </cell>
          <cell r="D7" t="str">
            <v>Монитор 23,8" (АМПР.463131.001) (1920x1080@75Hz IPS 16:9 5ms VGA HDMI DVI-D 178/178 250cd 1000:1 Audio out МПТ)</v>
          </cell>
        </row>
        <row r="14">
          <cell r="A14" t="str">
            <v>AQC-MON-00003</v>
          </cell>
          <cell r="D14" t="str">
            <v>Монитор 27" (АМПР.463131.003) (1920x1080@75Hz IPS 16:9 5ms VGA HDMI 178/178 250cd 1000:1 Audio out МПТ)</v>
          </cell>
        </row>
        <row r="18">
          <cell r="A18" t="str">
            <v>AQC-OPTION-00007</v>
          </cell>
          <cell r="D18" t="str">
            <v>Подставка для монитора Adjustable stand</v>
          </cell>
        </row>
      </sheetData>
      <sheetData sheetId="13">
        <row r="17">
          <cell r="D17" t="str">
            <v>АРМ Aquarius Pro K720 (АМПР.466539.253) (SFF_300/i3_12100/DDR5_8G/SSD256_M2_NVMe/WiFi/BT/KM)</v>
          </cell>
        </row>
        <row r="35">
          <cell r="D35" t="str">
            <v>АРМ Aquarius Pro K720 (АМПР.466539.253) (SFF_300/i5_12400/DDR5_8G/SSD256_M2_NVMe/WiFi/BT/KM)</v>
          </cell>
        </row>
        <row r="53">
          <cell r="D53" t="str">
            <v>АРМ Aquarius Pro K720 (АМПР.466539.253) (SFF_300/i5_12400/DDR5_8G/SSD512_M2_NVMe/WiFi/BT/KM)</v>
          </cell>
        </row>
        <row r="72">
          <cell r="D72" t="str">
            <v>АРМ Aquarius Pro K720 (АМПР.466539.253) (SFF_300/i3_13100/DDR5_8G/SSD256_M2_NVMe/WiFi/BT/KM)</v>
          </cell>
        </row>
        <row r="90">
          <cell r="D90" t="str">
            <v>АРМ Aquarius Pro K720 (АМПР.466539.253) (SFF_300/i5_13400/DDR5_8G/SSD256_M2_NVMe/WiFi/BT/KM)</v>
          </cell>
        </row>
        <row r="108">
          <cell r="D108" t="str">
            <v>АРМ Aquarius Pro K720 (АМПР.466539.253) (SFF_300/i5_13400/DDR5_8G/SSD512_M2_NVMe/WiFi/BT/KM)</v>
          </cell>
        </row>
        <row r="127">
          <cell r="D127" t="str">
            <v>АРМ Aquarius Pro K720 (АМПР.466539.253) (SFF_300/i3_14100/DDR5_8G/SSD512_M2_NVMe/WiFi/BT/KM)</v>
          </cell>
        </row>
        <row r="145">
          <cell r="D145" t="str">
            <v>АРМ Aquarius Pro K720 (АМПР.466539.253) (SFF_300/i5_14400/DDR5_16G/SSD512_M2_NVMe/WiFi/BT/KM)</v>
          </cell>
        </row>
        <row r="164">
          <cell r="D164" t="str">
            <v>АРМ Aquarius Pro K730 (АМПР.466539.244) (SFF_300/i3_12100/DDR5_8G/SSD256_M2_NVMe/WiFi/BT/KM)</v>
          </cell>
        </row>
        <row r="183">
          <cell r="D183" t="str">
            <v>АРМ Aquarius Pro K730 (АМПР.466539.244) (SFF_300/i5_12400/DDR5_8G/SSD256_M2_NVMe/WiFi/BT/KM)</v>
          </cell>
        </row>
        <row r="200">
          <cell r="D200" t="str">
            <v>АРМ Aquarius Pro K730 (АМПР.466539.244) (SFF_300/i5_12400/DDR5_8G/SSD512_M2_NVMe/WiFi/BT/KM)</v>
          </cell>
        </row>
        <row r="218">
          <cell r="D218" t="str">
            <v>АРМ Aquarius Pro K730 (АМПР.466539.244) (SFF_300/i3_13100/DDR5_8G/SSD256_M2_NVMe/WiFi/BT/KM)</v>
          </cell>
        </row>
        <row r="235">
          <cell r="D235" t="str">
            <v>АРМ Aquarius Pro K730 (АМПР.466539.244) (SFF_300/i5_13400/DDR5_8G/SSD256_M2_NVMe/WiFi/BT/KM)</v>
          </cell>
        </row>
        <row r="252">
          <cell r="D252" t="str">
            <v>АРМ Aquarius Pro K730(АМПР.466539.244) (SFF_300/i5_13400/DDR5_8G/SSD512_M2_NVMe/WiFi/BT/KM)</v>
          </cell>
        </row>
        <row r="270">
          <cell r="D270" t="str">
            <v>АРМ Aquarius Pro K730 (АМПР.466539.244) (SFF_300/i3_14100/DDR5_8G/SSD256_M2_NVMe/WiFi/BT/KM)</v>
          </cell>
        </row>
        <row r="287">
          <cell r="D287" t="str">
            <v>АРМ Aquarius Pro K730 (АМПР.466539.244)) (SFF_300/i5_14400/DDR5_16G/SSD512_M2_NVMe/WiFi/BT/KM)</v>
          </cell>
        </row>
        <row r="307">
          <cell r="D307" t="str">
            <v>АРМ Aquarius Pro K760 (АМПР.466539.245) (MNT/PSU400/i3_12100/DDR5_8G/SSD256_M2_NVMe/WiFi/BT/KM)</v>
          </cell>
        </row>
        <row r="325">
          <cell r="D325" t="str">
            <v>АРМ Aquarius Pro K760 (АМПР.466539.245) (MNT/PSU400/i5_12400/DDR5_8G/SSD256_M2_NVMe/WiFi/BT/KM)</v>
          </cell>
        </row>
        <row r="343">
          <cell r="D343" t="str">
            <v>АРМ Aquarius Pro K760 (АМПР.466539.245) (MNT/PSU400/i5_12400/DDR5_8G/SSD512_M2_NVMe/WiFi/BT/KM)</v>
          </cell>
        </row>
        <row r="362">
          <cell r="D362" t="str">
            <v>АРМ Aquarius Pro K760 (АМПР.466539.245) (MNT/PSU400/i5_12400/DDR5_8G/SSD256_M2_NVMe/WiFi/BT/KM)</v>
          </cell>
        </row>
        <row r="380">
          <cell r="D380" t="str">
            <v>АРМ Aquarius Pro K760 (АМПР.466539.245) (MNT/PSU400/i5_13400/DDR5_8G/SSD256_M2_NVMe/WiFi/BT/KM)</v>
          </cell>
        </row>
        <row r="398">
          <cell r="D398" t="str">
            <v>АРМ Aquarius Pro K760 (АМПР.466539.245) (MNT/PSU400/i5_13400/DDR5_8G/SSD512_M2_NVMe/WiFi/BT/KM)</v>
          </cell>
        </row>
        <row r="417">
          <cell r="D417" t="str">
            <v>АРМ Aquarius Pro K760 (АМПР.466539.245)(MNT/PSU400/i3_14100/DDR5_8G/SSD512_M2_NVMe/WiFi/BT/KM)</v>
          </cell>
        </row>
        <row r="435">
          <cell r="D435" t="str">
            <v>АРМ Aquarius Pro K760 (АМПР.466539.245) (MNT/PSU400/i5_14400/DDR5_16G/SSD512_M2_NVMe/WiFi/BT/KM)</v>
          </cell>
        </row>
        <row r="453">
          <cell r="D453" t="str">
            <v>АРМ Aquarius Pro K760 (АМПР.466539.245) (MNT/PSU400/i7_12700/DDR5_16G/SSD512_M2_NVMe/WiFi/BT/KM)</v>
          </cell>
        </row>
        <row r="471">
          <cell r="D471" t="str">
            <v>АРМ Aquarius Pro K760 (АМПР.466539.245) (MNT/PSU400/i7_13700/DDR5_16G/SSD512_M2_NVMe/WiFi/BT/KM)</v>
          </cell>
        </row>
        <row r="489">
          <cell r="D489" t="str">
            <v>АРМ Aquarius Pro K760 (АМПР.466539.245) (MNT/PSU400/i7_14700/DDR5_16G/SSD512_M2_NVMe/WiFi/BT/KM)</v>
          </cell>
        </row>
        <row r="508">
          <cell r="D508" t="str">
            <v>АРМ Aquarius Pro K790 (АМПР.466539.248) (MDT/PSU400/i5_12400/DDR5_8G/SSD256_M2_NVMe/WiFi/BT/KM)</v>
          </cell>
        </row>
        <row r="526">
          <cell r="D526" t="str">
            <v>АРМ Aquarius Pro K790 (АМПР.466539.248) (MDT/PSU400/i5_12400/DDR5_8G/SSD512_M2_NVMe/WiFi/BT/KM)</v>
          </cell>
        </row>
        <row r="544">
          <cell r="D544" t="str">
            <v>АРМ Aquarius Pro K790 (АМПР.466539.248) (MDT/PSU400/i7_12700/DDR5_16G/SSD512_M2_NVMe/WiFi/BT/KM)</v>
          </cell>
        </row>
        <row r="562">
          <cell r="D562" t="str">
            <v>АРМ Aquarius Pro K790 (АМПР.466539.248) (MDT/PSU400/i5_13400/DDR5_8G/SSD256_M2_NVMe/WiFi/BT/KM)</v>
          </cell>
        </row>
        <row r="580">
          <cell r="D580" t="str">
            <v>АРМ Aquarius Pro K790 (АМПР.466539.248) (MDT/PSU400/i5_13400/DDR5_8G/SSD512_M2_NVMe/WiFi/BT/KM)</v>
          </cell>
        </row>
        <row r="598">
          <cell r="D598" t="str">
            <v>АРМ Aquarius Pro K790 (АМПР.466539.248) (MDT/PSU400/i7_13700/DDR5_16G/SSD512_M2_NVMe/WiFi/BT/KM)</v>
          </cell>
        </row>
        <row r="617">
          <cell r="D617" t="str">
            <v>АРМ Aquarius Pro K790 (АМПР.466539.248) (MDT/PSU400/i5_14400/DDR5_16G/SSD512_M2_NVMe/WiFi/BT/KM)</v>
          </cell>
        </row>
        <row r="635">
          <cell r="D635" t="str">
            <v>АРМ Aquarius Pro K790 (АМПР.466539.248) (MDT/PSU400/i7_14700/DDR5_16G/SSD512_M2_NVMe/WiFi/BT/KM)</v>
          </cell>
        </row>
        <row r="651">
          <cell r="D651" t="str">
            <v>АРМ Aquarius Pro P30 K43 USFF1 (АМПР.466539.425) (USFF/i3_10100/DDR4_8G/SSD256_M2_NVMe/WiFi/BT/KM)</v>
          </cell>
        </row>
        <row r="667">
          <cell r="D667" t="str">
            <v>АРМ Aquarius Pro P30 K43 USFF1 (АМПР.466539.425) (USFF/i5_10500/DDR4_8G/SSD512_M2_NVMe/WiFi/BT/KM)</v>
          </cell>
        </row>
        <row r="687">
          <cell r="D687" t="str">
            <v>АРМ Aquarius Pro P30 K45 mini-Tower (АМПР.466539.434) (MNT/PSU400/R5_5600G/DDR4_8G/SSD256_M2_NVMe/WiFi/BT/KM)</v>
          </cell>
        </row>
        <row r="706">
          <cell r="D706" t="str">
            <v>АРМ Aquarius Pro P30 K45 mini-Tower (АМПР.466539.434) (MNT/PSU400/Ath_3000G/DDR4_8G/SSD256_M2_NVMe/WiFi/BT/KM)</v>
          </cell>
        </row>
        <row r="766">
          <cell r="D766" t="str">
            <v>АРМ Aquarius Pro P30 K45 SFF1 (АМПР.466539.457) (SFF_300/R5_5600G/DDR4_8G/SSD256_M2_NVMe/WiFi/BT/KM)</v>
          </cell>
        </row>
        <row r="785">
          <cell r="D785" t="str">
            <v>АРМ Aquarius Pro P30 K45 SFF1 (АМПР.466539.457) (SFF_300/Ath_3000G/DDR4_8G/SSD256_M2_NVMe/WiFi/BT/KM)</v>
          </cell>
        </row>
        <row r="838">
          <cell r="D838" t="str">
            <v>АРМ Aquarius Pro P30 K50 USFF1 (АМПР.466539.139) (USFF/i3_12100/DDR4_8G/SSD256_M2_NVMe/WiFi/BT/KM)</v>
          </cell>
        </row>
        <row r="855">
          <cell r="D855" t="str">
            <v>АРМ Aquarius Pro P30 K50 USFF1 (АМПР.466539.139) (USFF/i5_12400/DDR4_8G/SSD256_M2_NVMe/WiFi/BT/KM)</v>
          </cell>
        </row>
        <row r="871">
          <cell r="D871" t="str">
            <v>АРМ Aquarius Pro P30 K50 USFF1 (АМПР.466539.139) (USFF/i5_12400/DDR4_8G/SSD512_M2_NVMe/WiFi/BT/KM)</v>
          </cell>
        </row>
        <row r="888">
          <cell r="D888" t="str">
            <v>АРМ Aquarius Pro P30 K50 USFF1 (АМПР.466539.139) (USFF/i7_12700/DDR4_16G/SSD512_M2_NVMe/WiFi/BT/KM)</v>
          </cell>
        </row>
        <row r="905">
          <cell r="D905" t="str">
            <v>АРМ Aquarius Pro P30 K50 USFF1 (АМПР.466539.139) (USFF/i3_13100/DDR4_8G/SSD256_M2_NVMe/WiFi/BT/KM)</v>
          </cell>
        </row>
        <row r="922">
          <cell r="D922" t="str">
            <v>АРМ Aquarius Pro P30 K50 USFF1 (АМПР.466539.139) (USFF/i5_13400/DDR4_8G/SSD256_M2_NVMe/WiFi/BT/KM)</v>
          </cell>
        </row>
        <row r="939">
          <cell r="D939" t="str">
            <v>АРМ Aquarius Pro P30 K50 USFF1 (АМПР.466539.139) (USFF/i5_13400/DDR4_8G/SSD512_M2_NVMe/WiFi/BT/KM)</v>
          </cell>
        </row>
        <row r="956">
          <cell r="D956" t="str">
            <v>АРМ Aquarius Pro P30 K50 USFF1 (АМПР.466539.139) (USFF/i7_13700/DDR4_16G/SSD512_M2_NVMe/WiFi/BT/KM)</v>
          </cell>
        </row>
        <row r="973">
          <cell r="D973" t="str">
            <v>АРМ Aquarius Pro P30 K50 USFF1 (АМПР.466539.139) (USFF/i3_14100/DDR4_8G/SSD512_M2_NVMe/WiFi/BT/KM)</v>
          </cell>
        </row>
        <row r="990">
          <cell r="D990" t="str">
            <v>АРМ Aquarius Pro P30 K50 USFF1 (АМПР.466539.139) (USFF/i5_14400/DDR4_16G/SSD512_M2_NVMe/WiFi/BT/KM)</v>
          </cell>
        </row>
        <row r="1007">
          <cell r="D1007" t="str">
            <v>АРМ Aquarius Pro P30 K50 USFF1 (АМПР.466539.139) (USFF/i7_14700/DDR4_16G/SSD512_M2_NVMe/WiFi/BT/KM)</v>
          </cell>
        </row>
        <row r="1026">
          <cell r="D1026" t="str">
            <v>АРМ Aquarius Pro P30 K51 USFF1 (АМПР.466539.148) (USFF/i3_12100/DDR4_8G/SSD256_M2_NVMe/WiFi/BT/KM)</v>
          </cell>
        </row>
        <row r="1044">
          <cell r="D1044" t="str">
            <v>АРМ Aquarius Pro P30 K51 USFF1 (АМПР.466539.148) (USFF/i5_12400/DDR4_8G/SSD256_M2_NVMe/WiFi/BT/KM)</v>
          </cell>
        </row>
        <row r="1060">
          <cell r="D1060" t="str">
            <v>АРМ Aquarius Pro P30 K51 USFF1 (АМПР.466539.148) (USFF/i5_12400/DDR4_8G/SSD512_M2_NVMe/WiFi/BT/KM)</v>
          </cell>
        </row>
        <row r="1078">
          <cell r="D1078" t="str">
            <v>АРМ Aquarius Pro P30 K51 USFF1 (АМПР.466539.148) (USFF/i7_12700/DDR4_16G/SSD512_M2_NVMe/WiFi/BT/KM)</v>
          </cell>
        </row>
        <row r="1096">
          <cell r="D1096" t="str">
            <v>АРМ Aquarius Pro P30 K51 USFF1 (АМПР.466539.148) (USFF/i3_13100/DDR4_8G/SSD256_M2_NVMe/WiFi/BT/KM)</v>
          </cell>
        </row>
        <row r="1114">
          <cell r="D1114" t="str">
            <v>АРМ Aquarius Pro P30 K51 USFF1 (АМПР.466539.148) (USFF/i5_13400/DDR4_8G/SSD256_M2_NVMe/WiFi/BT/KM)</v>
          </cell>
        </row>
        <row r="1130">
          <cell r="D1130" t="str">
            <v>АРМ Aquarius Pro P30 K51 USFF1 (АМПР.466539.148) (USFF/i5_13400/DDR4_8G/SSD512_M2_NVMe/WiFi/BT/KM)</v>
          </cell>
        </row>
        <row r="1150">
          <cell r="D1150" t="str">
            <v>АРМ Aquarius Pro P30 K51 USFF1 (АМПР.466539.148) (USFF/i7_13700/DDR4_16G/SSD512_M2_NVMe/WiFi/BT/KM)</v>
          </cell>
        </row>
        <row r="1168">
          <cell r="D1168" t="str">
            <v>АРМ Aquarius Pro P30 K51 USFF1 (АМПР.466539.148) (USFF/i3_14100/DDR4_8G/SSD512_M2_NVMe/WiFi/BT/KM)</v>
          </cell>
        </row>
        <row r="1186">
          <cell r="D1186" t="str">
            <v>АРМ Aquarius Pro P30 K51 USFF1 (АМПР.466539.148) (USFF/i5_14400/DDR4_16G/SSD512_M2_NVMe/WiFi/BT/KM)</v>
          </cell>
        </row>
        <row r="1204">
          <cell r="D1204" t="str">
            <v>АРМ Aquarius Pro P30 K51 USFF1 (АМПР.466539.148) (USFF/i7_14700/DDR4_16G/SSD256_M2_NVMe/WiFi/BT/KM)</v>
          </cell>
        </row>
        <row r="1219">
          <cell r="D1219" t="str">
            <v>АРМ Aquarius Pro G40 S90 (АМПР.466539.227) (MDT/PSU750/E-2244G/DDR4_8G/SSD_256GB/KM)</v>
          </cell>
        </row>
      </sheetData>
      <sheetData sheetId="14">
        <row r="18">
          <cell r="A18" t="str">
            <v>AQ-CONF-ARMP-00066</v>
          </cell>
          <cell r="D18" t="str">
            <v>АРМ Aquarius Pro K720 (АМПР.466539.253) (SFF_300/i3_12100/DDR5_8G/SSD256_M2_NVMe/WiFi/BT/KM/MON_23,8)</v>
          </cell>
        </row>
        <row r="37">
          <cell r="A37" t="str">
            <v>AQ-CONF-ARMP-00067</v>
          </cell>
          <cell r="D37" t="str">
            <v>АРМ Aquarius Pro K720 (АМПР.466539.253) (SFF_300/i5_12400/DDR5_8G/SSD256_M2_NVMe/WiFi/BT/KM/MON_23,8)</v>
          </cell>
        </row>
        <row r="56">
          <cell r="A56" t="str">
            <v>AQ-CONF-ARMP-00068</v>
          </cell>
          <cell r="D56" t="str">
            <v>АРМ Aquarius Pro K720 (АМПР.466539.253) (SFF_300/i5_12400/DDR5_8G/SSD512_M2_NVMe/WiFi/BT/KM/MON_23,8)</v>
          </cell>
        </row>
        <row r="76">
          <cell r="A76" t="str">
            <v>AQ-CONF-ARMP-00069</v>
          </cell>
          <cell r="D76" t="str">
            <v>АРМ Aquarius Pro K720 (АМПР.466539.253) (SFF_300/i3_13100/DDR5_8G/SSD256_M2_NVMe/WiFi/BT/KM/MON_23,8)</v>
          </cell>
        </row>
        <row r="95">
          <cell r="A95" t="str">
            <v>AQ-CONF-ARMP-00070</v>
          </cell>
          <cell r="D95" t="str">
            <v>АРМ Aquarius Pro K720 (АМПР.466539.253) (SFF_300/i5_13400/DDR5_8G/SSD256_M2_NVMe/WiFi/BT/KM/MON_23,8)</v>
          </cell>
        </row>
        <row r="114">
          <cell r="A114" t="str">
            <v>AQ-CONF-ARMP-00071</v>
          </cell>
          <cell r="D114" t="str">
            <v>АРМ Aquarius Pro K720 (АМПР.466539.253) (SFF_300/i5_13400/DDR5_8G/SSD512_M2_NVMe/WiFi/BT/KM/MON_23,8)</v>
          </cell>
        </row>
        <row r="134">
          <cell r="A134" t="str">
            <v>AQ-CONF-ARMP-00072</v>
          </cell>
          <cell r="D134" t="str">
            <v>АРМ Aquarius Pro K720 (АМПР.466539.253) (SFF_300/i3_14100/DDR5_8G/SSD512_M2_NVMe/WiFi/BT/KM/MON_23,8)</v>
          </cell>
        </row>
        <row r="153">
          <cell r="A153" t="str">
            <v>AQ-CONF-ARMP-00073</v>
          </cell>
          <cell r="D153" t="str">
            <v>АРМ Aquarius Pro K720 (АМПР.466539.253) (SFF_300/i5_14400/DDR5_16G/SSD512_M2_NVMe/WiFi/BT/KM/MON_23,8)</v>
          </cell>
        </row>
        <row r="173">
          <cell r="A173" t="str">
            <v>AQ-CONF-ARMP-00074</v>
          </cell>
          <cell r="D173" t="str">
            <v>АРМ Aquarius Pro K730 (АМПР.466539.244) (SFF_300/i3_12100/DDR5_8G/SSD256_M2_NVMe/WiFi/BT/KM/MON_23,8)</v>
          </cell>
        </row>
        <row r="193">
          <cell r="A193" t="str">
            <v>AQ-CONF-ARMP-00075</v>
          </cell>
          <cell r="D193" t="str">
            <v>АРМ Aquarius Pro K730 (АМПР.466539.244) (SFF_300/i5_12400/DDR5_8G/SSD256_M2_NVMe/WiFi/BT/KM/MON_23,8)</v>
          </cell>
        </row>
        <row r="211">
          <cell r="A211" t="str">
            <v>AQ-CONF-ARMP-00076</v>
          </cell>
          <cell r="D211" t="str">
            <v>АРМ Aquarius Pro K730 (АМПР.466539.244) (SFF_300/i5_12400/DDR5_8G/SSD512_M2_NVMe/WiFi/BT/KM/MON_23,8)</v>
          </cell>
        </row>
        <row r="230">
          <cell r="A230" t="str">
            <v>AQ-CONF-ARMP-00077</v>
          </cell>
          <cell r="D230" t="str">
            <v>АРМ Aquarius Pro K730 (АМПР.466539.244) (SFF_300/i3_13100/DDR5_8G/SSD256_M2_NVMe/WiFi/BT/KM/MON_23,8)</v>
          </cell>
        </row>
        <row r="248">
          <cell r="A248" t="str">
            <v>AQ-CONF-ARMP-00078</v>
          </cell>
          <cell r="D248" t="str">
            <v>АРМ Aquarius Pro K730 (АМПР.466539.244) (SFF_300/i5_13400/DDR5_8G/SSD256_M2_NVMe/WiFi/BT/KM/MON_23,8)</v>
          </cell>
        </row>
        <row r="266">
          <cell r="A266" t="str">
            <v>AQ-CONF-ARMP-00079</v>
          </cell>
          <cell r="D266" t="str">
            <v>АРМ Aquarius Pro K730(АМПР.466539.244) (SFF_300/i5_13400/DDR5_8G/SSD512_M2_NVMe/WiFi/BT/KM/MON_23,8)</v>
          </cell>
        </row>
        <row r="285">
          <cell r="A285" t="str">
            <v>AQ-CONF-ARMP-00080</v>
          </cell>
          <cell r="D285" t="str">
            <v>АРМ Aquarius Pro K730 (АМПР.466539.244) (SFF_300/i3_14100/DDR5_8G/SSD256_M2_NVMe/WiFi/BT/KM/MON_23,8)</v>
          </cell>
        </row>
        <row r="303">
          <cell r="A303" t="str">
            <v>AQ-CONF-ARMP-00081</v>
          </cell>
          <cell r="D303" t="str">
            <v>АРМ Aquarius Pro K730 (АМПР.466539.244)) (SFF_300/i5_14400/DDR5_16G/SSD512_M2_NVMe/WiFi/BT/KM/MON_23,8)</v>
          </cell>
        </row>
        <row r="324">
          <cell r="A324" t="str">
            <v>AQ-CONF-ARMP-00082</v>
          </cell>
          <cell r="D324" t="str">
            <v>АРМ Aquarius Pro K760 (АМПР.466539.245) (MNT/PSU400/i3_12100/DDR5_8G/SSD256_M2_NVMe/WiFi/BT/KM/MON_23,8)</v>
          </cell>
        </row>
        <row r="343">
          <cell r="A343" t="str">
            <v>AQ-CONF-ARMP-00083</v>
          </cell>
          <cell r="D343" t="str">
            <v>АРМ Aquarius Pro K760 (АМПР.466539.245) (MNT/PSU400/i5_12400/DDR5_8G/SSD256_M2_NVMe/WiFi/BT/KM/MON_23,8)</v>
          </cell>
        </row>
        <row r="362">
          <cell r="A362" t="str">
            <v>AQ-CONF-ARMP-00084</v>
          </cell>
          <cell r="D362" t="str">
            <v>АРМ Aquarius Pro K760 (АМПР.466539.245) (MNT/PSU400/i5_12400/DDR5_8G/SSD512_M2_NVMe/WiFi/BT/KM/MON_23,8)</v>
          </cell>
        </row>
        <row r="382">
          <cell r="A382" t="str">
            <v>AQ-CONF-ARMP-00085</v>
          </cell>
          <cell r="D382" t="str">
            <v>АРМ Aquarius Pro K760 (АМПР.466539.245) (MNT/PSU400/i3_13100/DDR5_8G/SSD256_M2_NVMe/WiFi/BT/KM/MON_23,8)</v>
          </cell>
        </row>
        <row r="401">
          <cell r="A401" t="str">
            <v>AQ-CONF-ARMP-00086</v>
          </cell>
          <cell r="D401" t="str">
            <v>АРМ Aquarius Pro K760 (АМПР.466539.245) (MNT/PSU400/i5_13400/DDR5_8G/SSD256_M2_NVMe/WiFi/BT/KM/MON_23,8)</v>
          </cell>
        </row>
        <row r="420">
          <cell r="A420" t="str">
            <v>AQ-CONF-ARMP-00087</v>
          </cell>
          <cell r="D420" t="str">
            <v>АРМ Aquarius Pro K760 (АМПР.466539.245) (MNT/PSU400/i5_13400/DDR5_8G/SSD512_M2_NVMe/WiFi/BT/KM/MON_23,8)</v>
          </cell>
        </row>
        <row r="440">
          <cell r="A440" t="str">
            <v>AQ-CONF-ARMP-00088</v>
          </cell>
          <cell r="D440" t="str">
            <v>АРМ Aquarius Pro K760 (АМПР.466539.245)(MNT/PSU400/i3_14100/DDR5_8G/SSD512_M2_NVMe/WiFi/BT/KM/MON_23,8)</v>
          </cell>
        </row>
        <row r="459">
          <cell r="A459" t="str">
            <v>AQ-CONF-ARMP-00089</v>
          </cell>
          <cell r="D459" t="str">
            <v>АРМ Aquarius Pro K760 (АМПР.466539.245) (MNT/PSU400/i5_14400/DDR5_16G/SSD512_M2_NVMe/WiFi/BT/KM/MON_23,8)</v>
          </cell>
        </row>
        <row r="478">
          <cell r="A478" t="str">
            <v>AQ-CONF-ARMP-00090</v>
          </cell>
          <cell r="D478" t="str">
            <v>АРМ Aquarius Pro K760 (АМПР.466539.245) (MNT/PSU400/i7_12700/DDR5_16G/SSD512_M2_NVMe/WiFi/BT/KM/MON_23,8)</v>
          </cell>
        </row>
        <row r="497">
          <cell r="A497" t="str">
            <v>AQ-CONF-ARMP-00091</v>
          </cell>
          <cell r="D497" t="str">
            <v>АРМ Aquarius Pro K760 (АМПР.466539.245) (MNT/PSU400/i7_13700/DDR5_16G/SSD512_M2_NVMe/WiFi/BT/KM/MON_23,8)</v>
          </cell>
        </row>
        <row r="516">
          <cell r="A516" t="str">
            <v>AQ-CONF-ARMP-00092</v>
          </cell>
          <cell r="D516" t="str">
            <v>АРМ Aquarius Pro K760 (АМПР.466539.245) (MNT/PSU400/i7_14700/DDR5_16G/SSD512_M2_NVMe/WiFi/BT/KM/MON_23,8)</v>
          </cell>
        </row>
        <row r="536">
          <cell r="A536" t="str">
            <v>AQ-CONF-ARMP-00093</v>
          </cell>
          <cell r="D536" t="str">
            <v>АРМ Aquarius Pro K790 (АМПР.466539.248) (MDT/PSU400/i5_12400/DDR5_8G/SSD256_M2_NVMe/WiFi/BT/KM/MON_23,8)</v>
          </cell>
        </row>
        <row r="555">
          <cell r="A555" t="str">
            <v>AQ-CONF-ARMP-00094</v>
          </cell>
          <cell r="D555" t="str">
            <v>АРМ Aquarius Pro K790 (АМПР.466539.248) (MDT/PSU400/i5_12400/DDR5_8G/SSD512_M2_NVMe/WiFi/BT/KM/MON_23,8)</v>
          </cell>
        </row>
        <row r="574">
          <cell r="A574" t="str">
            <v>AQ-CONF-ARMP-00095</v>
          </cell>
          <cell r="D574" t="str">
            <v>АРМ Aquarius Pro K790 (АМПР.466539.248) (MDT/PSU400/i7_12700/DDR5_16G/SSD512_M2_NVMe/WiFi/BT/KM/MON_23,8)</v>
          </cell>
        </row>
        <row r="593">
          <cell r="A593" t="str">
            <v>AQ-CONF-ARMP-00096</v>
          </cell>
          <cell r="D593" t="str">
            <v>АРМ Aquarius Pro K790 (АМПР.466539.248) (MDT/PSU400/i5_13400/DDR5_8G/SSD256_M2_NVMe/WiFi/BT/KM/MON_23,8)</v>
          </cell>
        </row>
        <row r="612">
          <cell r="A612" t="str">
            <v>AQ-CONF-ARMP-00097</v>
          </cell>
          <cell r="D612" t="str">
            <v>АРМ Aquarius Pro K790 (АМПР.466539.248) (MDT/PSU400/i5_13400/DDR5_8G/SSD512_M2_NVMe/WiFi/BT/KM/MON_23,8)</v>
          </cell>
        </row>
        <row r="631">
          <cell r="A631" t="str">
            <v>AQ-CONF-ARMP-00098</v>
          </cell>
          <cell r="D631" t="str">
            <v>АРМ Aquarius Pro K790 (АМПР.466539.248) (MDT/PSU400/i7_13700/DDR5_16G/SSD512_M2_NVMe/WiFi/BT/KM/MON_23,8)</v>
          </cell>
        </row>
        <row r="651">
          <cell r="A651" t="str">
            <v>AQ-CONF-ARMP-00099</v>
          </cell>
          <cell r="D651" t="str">
            <v>АРМ Aquarius Pro K790 (АМПР.466539.248) (MDT/PSU400/i5_14400/DDR5_16G/SSD512_M2_NVMe/WiFi/BT/KM/MON_23,8)</v>
          </cell>
        </row>
        <row r="670">
          <cell r="A670" t="str">
            <v>AQ-CONF-ARMP-00100</v>
          </cell>
          <cell r="D670" t="str">
            <v>АРМ Aquarius Pro K790 (АМПР.466539.248) (MDT/PSU400/i7_14700/DDR5_16G/SSD512_M2_NVMe/WiFi/BT/KM/MON_23,8)</v>
          </cell>
        </row>
        <row r="687">
          <cell r="A687" t="str">
            <v>AQ-CONF-ARMP-00101</v>
          </cell>
          <cell r="D687" t="str">
            <v>АРМ Aquarius Pro P30 K43 USFF1 (АМПР.466539.425) (USFF/i3_10100/DDR4_8G/SSD256_M2_NVMe/WiFi/BT/KM/MON_23,8)</v>
          </cell>
        </row>
        <row r="704">
          <cell r="A704" t="str">
            <v>AQ-CONF-ARMP-00102</v>
          </cell>
          <cell r="D704" t="str">
            <v>АРМ Aquarius Pro P30 K43 USFF1 (АМПР.466539.425) (USFF/i5_10500/DDR4_8G/SSD512_M2_NVMe/WiFi/BT/KM/MON_23,8)</v>
          </cell>
        </row>
        <row r="725">
          <cell r="A725" t="str">
            <v>AQ-CONF-ARMP-00103</v>
          </cell>
          <cell r="D725" t="str">
            <v>АРМ Aquarius Pro P30 K45 mini-Tower (АМПР.466539.434) (MNT/PSU400/R5_5600G/DDR4_8G/SSD256_M2_NVMe/WiFi/BT/KM/MON_23,8)</v>
          </cell>
        </row>
        <row r="745">
          <cell r="A745" t="str">
            <v>AQ-CONF-ARMP-00104</v>
          </cell>
          <cell r="D745" t="str">
            <v>АРМ Aquarius Pro P30 K45 mini-Tower (АМПР.466539.434) (MNT/PSU400/Ath_3000G/DDR4_8G/SSD256_M2_NVMe/WiFi/BT/KM/MON_23,8)</v>
          </cell>
        </row>
        <row r="808">
          <cell r="A808" t="str">
            <v>AQ-CONF-ARMP-00105</v>
          </cell>
          <cell r="D808" t="str">
            <v>АРМ Aquarius Pro P30 K45 SFF1 (АМПР.466539.457) (SFF_300/R5_5600G/DDR4_8G/SSD256_M2_NVMe/WiFi/BT/KM/MON_23,8)</v>
          </cell>
        </row>
        <row r="828">
          <cell r="A828" t="str">
            <v>AQ-CONF-ARMP-00106</v>
          </cell>
          <cell r="D828" t="str">
            <v>АРМ Aquarius Pro P30 K45 SFF1 (АМПР.466539.457) (SFF_300/Ath_3000G/DDR4_8G/SSD256_M2_NVMe/WiFi/BT/KM/MON_23,8)</v>
          </cell>
        </row>
        <row r="884">
          <cell r="A884" t="str">
            <v>AQ-CONF-ARMP-00107</v>
          </cell>
          <cell r="D884" t="str">
            <v>АРМ Aquarius Pro P30 K50 USFF1 (АМПР.466539.139) (USFF/i3_12100/DDR4_8G/SSD256_M2_NVMe/WiFi/BT/KM/MON_23,8)</v>
          </cell>
        </row>
        <row r="902">
          <cell r="A902" t="str">
            <v>AQ-CONF-ARMP-00108</v>
          </cell>
          <cell r="D902" t="str">
            <v>АРМ Aquarius Pro P30 K50 USFF1 (АМПР.466539.139) (USFF/i5_12400/DDR4_8G/SSD256_M2_NVMe/WiFi/BT/KM/MON_23,8)</v>
          </cell>
        </row>
        <row r="919">
          <cell r="A919" t="str">
            <v>AQ-CONF-ARMP-00109</v>
          </cell>
          <cell r="D919" t="str">
            <v>АРМ Aquarius Pro P30 K50 USFF1 (АМПР.466539.139) (USFF/i5_12400/DDR4_8G/SSD512_M2_NVMe/WiFi/BT/KM/MON_23,8)</v>
          </cell>
        </row>
        <row r="937">
          <cell r="A937" t="str">
            <v>AQ-CONF-ARMP-00110</v>
          </cell>
          <cell r="D937" t="str">
            <v>АРМ Aquarius Pro P30 K50 USFF1 (АМПР.466539.139) (USFF/i7_12700/DDR4_16G/SSD512_M2_NVMe/WiFi/BT/KM/MON_23,8)</v>
          </cell>
        </row>
        <row r="955">
          <cell r="A955" t="str">
            <v>AQ-CONF-ARMP-00111</v>
          </cell>
          <cell r="D955" t="str">
            <v>АРМ Aquarius Pro P30 K50 USFF1 (АМПР.466539.139) (USFF/i3_13100/DDR4_8G/SSD256_M2_NVMe/WiFi/BT/KM/MON_23,8)</v>
          </cell>
        </row>
        <row r="973">
          <cell r="A973" t="str">
            <v>AQ-CONF-ARMP-00112</v>
          </cell>
          <cell r="D973" t="str">
            <v>АРМ Aquarius Pro P30 K50 USFF1 (АМПР.466539.139) (USFF/i5_13400/DDR4_8G/SSD256_M2_NVMe/WiFi/BT/KM/MON_23,8)</v>
          </cell>
        </row>
        <row r="991">
          <cell r="A991" t="str">
            <v>AQ-CONF-ARMP-00113</v>
          </cell>
          <cell r="D991" t="str">
            <v>АРМ Aquarius Pro P30 K50 USFF1 (АМПР.466539.139) (USFF/i5_13400/DDR4_8G/SSD512_M2_NVMe/WiFi/BT/KM/MON_23,8)</v>
          </cell>
        </row>
        <row r="1009">
          <cell r="A1009" t="str">
            <v>AQ-CONF-ARMP-00114</v>
          </cell>
          <cell r="D1009" t="str">
            <v>АРМ Aquarius Pro P30 K50 USFF1 (АМПР.466539.139) (USFF/i7_13700/DDR4_16G/SSD512_M2_NVMe/WiFi/BT/KM/MON_23,8)</v>
          </cell>
        </row>
        <row r="1027">
          <cell r="A1027" t="str">
            <v>AQ-CONF-ARMP-00115</v>
          </cell>
          <cell r="D1027" t="str">
            <v>АРМ Aquarius Pro P30 K50 USFF1 (АМПР.466539.139) (USFF/i3_14100/DDR4_8G/SSD512_M2_NVMe/WiFi/BT/KM/MON_23,8)</v>
          </cell>
        </row>
        <row r="1045">
          <cell r="A1045" t="str">
            <v>AQ-CONF-ARMP-00116</v>
          </cell>
          <cell r="D1045" t="str">
            <v>АРМ Aquarius Pro P30 K50 USFF1 (АМПР.466539.139) (USFF/i5_14400/DDR4_16G/SSD512_M2_NVMe/WiFi/BT/KM/MON_23,8)</v>
          </cell>
        </row>
        <row r="1063">
          <cell r="A1063" t="str">
            <v>AQ-CONF-ARMP-00117</v>
          </cell>
          <cell r="D1063" t="str">
            <v>АРМ Aquarius Pro P30 K50 USFF1 (АМПР.466539.139) (USFF/i7_14700/DDR4_16G/SSD512_M2_NVMe/WiFi/BT/KM/MON_23,8)</v>
          </cell>
        </row>
        <row r="1084">
          <cell r="A1084" t="str">
            <v>AQ-CONF-ARMP-00119</v>
          </cell>
          <cell r="D1084" t="str">
            <v>АРМ Aquarius Pro P30 K51 USFF1 (АМПР.466539.148) (USFF/i3_12100/DDR4_8G/SSD256_M2_NVMe/WiFi/BT/KM/MON_23,8)</v>
          </cell>
        </row>
        <row r="1103">
          <cell r="A1103" t="str">
            <v>AQ-CONF-ARMP-00120</v>
          </cell>
          <cell r="D1103" t="str">
            <v>АРМ Aquarius Pro P30 K51 USFF1 (АМПР.466539.148) (USFF/i5_12400/DDR4_8G/SSD256_M2_NVMe/WiFi/BT/KM/MON_23,8)</v>
          </cell>
        </row>
        <row r="1120">
          <cell r="A1120" t="str">
            <v>AQ-CONF-ARMP-00121</v>
          </cell>
          <cell r="D1120" t="str">
            <v>АРМ Aquarius Pro P30 K51 USFF1 (АМПР.466539.148) (USFF/i5_12400/DDR4_8G/SSD512_M2_NVMe/WiFi/BT/KM/MON_23,8)</v>
          </cell>
        </row>
        <row r="1139">
          <cell r="A1139" t="str">
            <v>AQ-CONF-ARMP-00122</v>
          </cell>
          <cell r="D1139" t="str">
            <v>АРМ Aquarius Pro P30 K51 USFF1 (АМПР.466539.148) (USFF/i7_12700/DDR4_16G/SSD512_M2_NVMe/WiFi/BT/KM/MON_23,8)</v>
          </cell>
        </row>
        <row r="1158">
          <cell r="A1158" t="str">
            <v>AQ-CONF-ARMP-00123</v>
          </cell>
          <cell r="D1158" t="str">
            <v>АРМ Aquarius Pro P30 K51 USFF1 (АМПР.466539.148) (USFF/i3_13100/DDR4_8G/SSD256_M2_NVMe/WiFi/BT/KM/MON_23,8)</v>
          </cell>
        </row>
        <row r="1177">
          <cell r="A1177" t="str">
            <v>AQ-CONF-ARMP-00124</v>
          </cell>
          <cell r="D1177" t="str">
            <v>АРМ Aquarius Pro P30 K51 USFF1 (АМПР.466539.148) (USFF/i5_13400/DDR4_8G/SSD256_M2_NVMe/WiFi/BT/KM/MON_23,8)</v>
          </cell>
        </row>
        <row r="1194">
          <cell r="A1194" t="str">
            <v>AQ-CONF-ARMP-00125</v>
          </cell>
          <cell r="D1194" t="str">
            <v>АРМ Aquarius Pro P30 K51 USFF1 (АМПР.466539.148) (USFF/i5_13400/DDR4_8G/SSD512_M2_NVMe/WiFi/BT/KM/MON_23,8)</v>
          </cell>
        </row>
        <row r="1215">
          <cell r="A1215" t="str">
            <v>AQ-CONF-ARMP-00126</v>
          </cell>
          <cell r="D1215" t="str">
            <v>АРМ Aquarius Pro P30 K51 USFF1 (АМПР.466539.148) (USFF/i7_13700/DDR4_16G/SSD512_M2_NVMe/WiFi/BT/KM/MON_23,8)</v>
          </cell>
        </row>
        <row r="1234">
          <cell r="A1234" t="str">
            <v>AQ-CONF-ARMP-00127</v>
          </cell>
          <cell r="D1234" t="str">
            <v>АРМ Aquarius Pro P30 K51 USFF1 (АМПР.466539.148) (USFF/i3_14100/DDR4_8G/SSD512_M2_NVMe/WiFi/BT/KM/MON_23,8)</v>
          </cell>
        </row>
        <row r="1253">
          <cell r="A1253" t="str">
            <v>AQ-CONF-ARMP-00128</v>
          </cell>
          <cell r="D1253" t="str">
            <v>АРМ Aquarius Pro P30 K51 USFF1 (АМПР.466539.148) (USFF/i5_14400/DDR4_16G/SSD512_M2_NVMe/WiFi/BT/KM/MON_23,8)</v>
          </cell>
        </row>
        <row r="1272">
          <cell r="A1272" t="str">
            <v>AQ-CONF-ARMP-00129</v>
          </cell>
          <cell r="D1272" t="str">
            <v>АРМ Aquarius Pro P30 K51 USFF1 (АМПР.466539.148) (USFF/i7_14700/DDR4_16G/SSD256_M2_NVMe/WiFi/BT/KM/MON_23,8)</v>
          </cell>
        </row>
        <row r="1288">
          <cell r="A1288" t="str">
            <v>AQ-CONF-ARMP-00130</v>
          </cell>
          <cell r="D1288" t="str">
            <v>АРМ Aquarius Pro G40 S90 (АМПР.466539.227) (MDT/PSU750/E-2244G/DDR4_8G/SSD_256GB/KM/MON_23,8)</v>
          </cell>
        </row>
      </sheetData>
      <sheetData sheetId="15">
        <row r="18">
          <cell r="A18" t="str">
            <v>AQ-CONF-ARMP-00131</v>
          </cell>
          <cell r="D18" t="str">
            <v>АРМ Aquarius Pro K720 (АМПР.466539.253) (SFF_300/i3_12100/DDR5_8G/SSD256_M2_NVMe/WiFi/BT/KM/MON_27)</v>
          </cell>
        </row>
        <row r="37">
          <cell r="A37" t="str">
            <v>AQ-CONF-ARMP-00132</v>
          </cell>
          <cell r="D37" t="str">
            <v>АРМ Aquarius Pro K720 (АМПР.466539.253) (SFF_300/i5_12400/DDR5_8G/SSD256_M2_NVMe/WiFi/BT/KM/MON_27)</v>
          </cell>
        </row>
        <row r="56">
          <cell r="A56" t="str">
            <v>AQ-CONF-ARMP-00133</v>
          </cell>
          <cell r="D56" t="str">
            <v>АРМ Aquarius Pro K720 (АМПР.466539.253) (SFF_300/i5_12400/DDR5_8G/SSD512_M2_NVMe/WiFi/BT/KM/MON_27)</v>
          </cell>
        </row>
        <row r="76">
          <cell r="A76" t="str">
            <v>AQ-CONF-ARMP-00134</v>
          </cell>
          <cell r="D76" t="str">
            <v>АРМ Aquarius Pro K720 (АМПР.466539.253) (SFF_300/i3_13100/DDR5_8G/SSD256_M2_NVMe/WiFi/BT/KM/MON_27)</v>
          </cell>
        </row>
        <row r="95">
          <cell r="A95" t="str">
            <v>AQ-CONF-ARMP-00135</v>
          </cell>
          <cell r="D95" t="str">
            <v>АРМ Aquarius Pro K720 (АМПР.466539.253) (SFF_300/i5_13400/DDR5_8G/SSD256_M2_NVMe/WiFi/BT/KM/MON_27)</v>
          </cell>
        </row>
        <row r="114">
          <cell r="A114" t="str">
            <v>AQ-CONF-ARMP-00136</v>
          </cell>
          <cell r="D114" t="str">
            <v>АРМ Aquarius Pro K720 (АМПР.466539.253) (SFF_300/i5_13400/DDR5_8G/SSD512_M2_NVMe/WiFi/BT/KM/MON_27)</v>
          </cell>
        </row>
        <row r="134">
          <cell r="A134" t="str">
            <v>AQ-CONF-ARMP-00137</v>
          </cell>
          <cell r="D134" t="str">
            <v>АРМ Aquarius Pro K720 (АМПР.466539.253) (SFF_300/i3_14100/DDR5_8G/SSD512_M2_NVMe/WiFi/BT/KM/MON_27)</v>
          </cell>
        </row>
        <row r="153">
          <cell r="A153" t="str">
            <v>AQ-CONF-ARMP-00138</v>
          </cell>
          <cell r="D153" t="str">
            <v>АРМ Aquarius Pro K720 (АМПР.466539.253) (SFF_300/i5_14400/DDR5_16G/SSD512_M2_NVMe/WiFi/BT/KM/MON_27)</v>
          </cell>
        </row>
        <row r="173">
          <cell r="A173" t="str">
            <v>AQ-CONF-ARMP-00139</v>
          </cell>
          <cell r="D173" t="str">
            <v>АРМ Aquarius Pro K730 (АМПР.466539.244) (SFF_300/i3_12100/DDR5_8G/SSD256_M2_NVMe/WiFi/BT/KM/MON_27)</v>
          </cell>
        </row>
        <row r="193">
          <cell r="A193" t="str">
            <v>AQ-CONF-ARMP-00140</v>
          </cell>
          <cell r="D193" t="str">
            <v>АРМ Aquarius Pro K730 (АМПР.466539.244) (SFF_300/i5_12400/DDR5_8G/SSD256_M2_NVMe/WiFi/BT/KM/MON_27)</v>
          </cell>
        </row>
        <row r="211">
          <cell r="A211" t="str">
            <v>AQ-CONF-ARMP-00141</v>
          </cell>
          <cell r="D211" t="str">
            <v>АРМ Aquarius Pro K730 (АМПР.466539.244) (SFF_300/i5_12400/DDR5_8G/SSD512_M2_NVMe/WiFi/BT/KM/MON_27)</v>
          </cell>
        </row>
        <row r="230">
          <cell r="A230" t="str">
            <v>AQ-CONF-ARMP-00142</v>
          </cell>
          <cell r="D230" t="str">
            <v>АРМ Aquarius Pro K730 (АМПР.466539.244) (SFF_300/i3_13100/DDR5_8G/SSD256_M2_NVMe/WiFi/BT/KM/MON_27)</v>
          </cell>
        </row>
        <row r="248">
          <cell r="A248" t="str">
            <v>AQ-CONF-ARMP-00143</v>
          </cell>
          <cell r="D248" t="str">
            <v>АРМ Aquarius Pro K730 (АМПР.466539.244) (SFF_300/i5_13400/DDR5_8G/SSD256_M2_NVMe/WiFi/BT/KM/MON_27)</v>
          </cell>
        </row>
        <row r="266">
          <cell r="A266" t="str">
            <v>AQ-CONF-ARMP-00144</v>
          </cell>
          <cell r="D266" t="str">
            <v>АРМ Aquarius Pro K730(АМПР.466539.244) (SFF_300/i5_13400/DDR5_8G/SSD512_M2_NVMe/WiFi/BT/KM/MON_27)</v>
          </cell>
        </row>
        <row r="285">
          <cell r="A285" t="str">
            <v>AQ-CONF-ARMP-00145</v>
          </cell>
          <cell r="D285" t="str">
            <v>АРМ Aquarius Pro K730 (АМПР.466539.244) (SFF_300/i3_14100/DDR5_8G/SSD256_M2_NVMe/WiFi/BT/KM/MON_27)</v>
          </cell>
        </row>
        <row r="303">
          <cell r="A303" t="str">
            <v>AQ-CONF-ARMP-00146</v>
          </cell>
          <cell r="D303" t="str">
            <v>АРМ Aquarius Pro K730 (АМПР.466539.244)) (SFF_300/i5_14400/DDR5_16G/SSD512_M2_NVMe/WiFi/BT/KM/MON_27)</v>
          </cell>
        </row>
        <row r="324">
          <cell r="A324" t="str">
            <v>AQ-CONF-ARMP-00147</v>
          </cell>
          <cell r="D324" t="str">
            <v>АРМ Aquarius Pro K760 (АМПР.466539.245) (MNT/PSU400/i3_12100/DDR5_8G/SSD256_M2_NVMe/WiFi/BT/KM/MON_27)</v>
          </cell>
        </row>
        <row r="343">
          <cell r="A343" t="str">
            <v>AQ-CONF-ARMP-00148</v>
          </cell>
          <cell r="D343" t="str">
            <v>АРМ Aquarius Pro K760 (АМПР.466539.245) (MNT/PSU400/i5_12400/DDR5_8G/SSD256_M2_NVMe/WiFi/BT/KM/MON_27)</v>
          </cell>
        </row>
        <row r="362">
          <cell r="A362" t="str">
            <v>AQ-CONF-ARMP-00149</v>
          </cell>
          <cell r="D362" t="str">
            <v>АРМ Aquarius Pro K760 (АМПР.466539.245) (MNT/PSU400/i5_12400/DDR5_8G/SSD512_M2_NVMe/WiFi/BT/KM/MON_27)</v>
          </cell>
        </row>
        <row r="382">
          <cell r="A382" t="str">
            <v>AQ-CONF-ARMP-00150</v>
          </cell>
          <cell r="D382" t="str">
            <v>АРМ Aquarius Pro K760 (АМПР.466539.245) (MNT/PSU400/i3_13100/DDR5_8G/SSD256_M2_NVMe/WiFi/BT/KM/MON_27)</v>
          </cell>
        </row>
        <row r="401">
          <cell r="A401" t="str">
            <v>AQ-CONF-ARMP-00151</v>
          </cell>
          <cell r="D401" t="str">
            <v>АРМ Aquarius Pro K760 (АМПР.466539.245) (MNT/PSU400/i5_13400/DDR5_8G/SSD256_M2_NVMe/WiFi/BT/KM/MON_27)</v>
          </cell>
        </row>
        <row r="420">
          <cell r="A420" t="str">
            <v>AQ-CONF-ARMP-00152</v>
          </cell>
          <cell r="D420" t="str">
            <v>АРМ Aquarius Pro K760 (АМПР.466539.245) (MNT/PSU400/i5_13400/DDR5_8G/SSD512_M2_NVMe/WiFi/BT/KM/MON_27)</v>
          </cell>
        </row>
        <row r="440">
          <cell r="A440" t="str">
            <v>AQ-CONF-ARMP-00153</v>
          </cell>
          <cell r="D440" t="str">
            <v>АРМ Aquarius Pro K760 (АМПР.466539.245)(MNT/PSU400/i3_14100/DDR5_8G/SSD512_M2_NVMe/WiFi/BT/KM/MON_27)</v>
          </cell>
        </row>
        <row r="459">
          <cell r="A459" t="str">
            <v>AQ-CONF-ARMP-00154</v>
          </cell>
          <cell r="D459" t="str">
            <v>АРМ Aquarius Pro K760 (АМПР.466539.245) (MNT/PSU400/i5_14400/DDR5_16G/SSD512_M2_NVMe/WiFi/BT/KM/MON_27)</v>
          </cell>
        </row>
        <row r="478">
          <cell r="A478" t="str">
            <v>AQ-CONF-ARMP-00155</v>
          </cell>
          <cell r="D478" t="str">
            <v>АРМ Aquarius Pro K760 (АМПР.466539.245) (MNT/PSU400/i7_12700/DDR5_16G/SSD512_M2_NVMe/WiFi/BT/KM/MON_27)</v>
          </cell>
        </row>
        <row r="497">
          <cell r="A497" t="str">
            <v>AQ-CONF-ARMP-00156</v>
          </cell>
          <cell r="D497" t="str">
            <v>АРМ Aquarius Pro K760 (АМПР.466539.245) (MNT/PSU400/i7_13700/DDR5_16G/SSD512_M2_NVMe/WiFi/BT/KM/MON_27)</v>
          </cell>
        </row>
        <row r="516">
          <cell r="A516" t="str">
            <v>AQ-CONF-ARMP-00157</v>
          </cell>
          <cell r="D516" t="str">
            <v>АРМ Aquarius Pro K760 (АМПР.466539.245) (MNT/PSU400/i7_14700/DDR5_16G/SSD512_M2_NVMe/WiFi/BT/KM/MON_27)</v>
          </cell>
        </row>
        <row r="536">
          <cell r="A536" t="str">
            <v>AQ-CONF-ARMP-00158</v>
          </cell>
          <cell r="D536" t="str">
            <v>АРМ Aquarius Pro K790 (АМПР.466539.248) (MDT/PSU400/i5_12400/DDR5_8G/SSD256_M2_NVMe/WiFi/BT/KM/MON_27)</v>
          </cell>
        </row>
        <row r="555">
          <cell r="A555" t="str">
            <v>AQ-CONF-ARMP-00159</v>
          </cell>
          <cell r="D555" t="str">
            <v>АРМ Aquarius Pro K790 (АМПР.466539.248) (MDT/PSU400/i5_12400/DDR5_8G/SSD512_M2_NVMe/WiFi/BT/KM/MON_27)</v>
          </cell>
        </row>
        <row r="574">
          <cell r="A574" t="str">
            <v>AQ-CONF-ARMP-00160</v>
          </cell>
          <cell r="D574" t="str">
            <v>АРМ Aquarius Pro K790 (АМПР.466539.248) (MDT/PSU400/i7_12700/DDR5_16G/SSD512_M2_NVMe/WiFi/BT/KM/MON_27)</v>
          </cell>
        </row>
        <row r="593">
          <cell r="A593" t="str">
            <v>AQ-CONF-ARMP-00161</v>
          </cell>
          <cell r="D593" t="str">
            <v>АРМ Aquarius Pro K790 (АМПР.466539.248) (MDT/PSU400/i5_13400/DDR5_8G/SSD256_M2_NVMe/WiFi/BT/KM/MON_27)</v>
          </cell>
        </row>
        <row r="612">
          <cell r="A612" t="str">
            <v>AQ-CONF-ARMP-00162</v>
          </cell>
          <cell r="D612" t="str">
            <v>АРМ Aquarius Pro K790 (АМПР.466539.248) (MDT/PSU400/i5_13400/DDR5_8G/SSD512_M2_NVMe/WiFi/BT/KM/MON_27)</v>
          </cell>
        </row>
        <row r="631">
          <cell r="A631" t="str">
            <v>AQ-CONF-ARMP-00163</v>
          </cell>
          <cell r="D631" t="str">
            <v>АРМ Aquarius Pro K790 (АМПР.466539.248) (MDT/PSU400/i7_13700/DDR5_16G/SSD512_M2_NVMe/WiFi/BT/KM/MON_27)</v>
          </cell>
        </row>
        <row r="651">
          <cell r="A651" t="str">
            <v>AQ-CONF-ARMP-00164</v>
          </cell>
          <cell r="D651" t="str">
            <v>АРМ Aquarius Pro K790 (АМПР.466539.248) (MDT/PSU400/i5_14400/DDR5_16G/SSD512_M2_NVMe/WiFi/BT/KM/MON_27)</v>
          </cell>
        </row>
        <row r="670">
          <cell r="A670" t="str">
            <v>AQ-CONF-ARMP-00165</v>
          </cell>
          <cell r="D670" t="str">
            <v>АРМ Aquarius Pro K790 (АМПР.466539.248) (MDT/PSU400/i7_14700/DDR5_16G/SSD512_M2_NVMe/WiFi/BT/KM/MON_27)</v>
          </cell>
        </row>
        <row r="687">
          <cell r="A687" t="str">
            <v>AQ-CONF-ARMP-00166</v>
          </cell>
          <cell r="D687" t="str">
            <v>АРМ Aquarius Pro P30 K43 USFF1 (АМПР.466539.425) (USFF/i3_10100/DDR4_8G/SSD256_M2_NVMe/WiFi/BT/KM/MON_27)</v>
          </cell>
        </row>
        <row r="704">
          <cell r="A704" t="str">
            <v>AQ-CONF-ARMP-00167</v>
          </cell>
          <cell r="D704" t="str">
            <v>АРМ Aquarius Pro P30 K43 USFF1 (АМПР.466539.425) (USFF/i5_10500/DDR4_8G/SSD512_M2_NVMe/WiFi/BT/KM/MON_27)</v>
          </cell>
        </row>
        <row r="725">
          <cell r="A725" t="str">
            <v>AQ-CONF-ARMP-00168</v>
          </cell>
          <cell r="D725" t="str">
            <v>АРМ Aquarius Pro P30 K45 mini-Tower (АМПР.466539.434) (MNT/PSU400/R5_5600G/DDR4_8G/SSD256_M2_NVMe/WiFi/BT/KM/MON_27)</v>
          </cell>
        </row>
        <row r="745">
          <cell r="A745" t="str">
            <v>AQ-CONF-ARMP-00169</v>
          </cell>
          <cell r="D745" t="str">
            <v>АРМ Aquarius Pro P30 K45 mini-Tower (АМПР.466539.434) (MNT/PSU400/Ath_3000G/DDR4_8G/SSD256_M2_NVMe/WiFi/BT/KM/MON_27)</v>
          </cell>
        </row>
        <row r="808">
          <cell r="A808" t="str">
            <v>AQ-CONF-ARMP-00170</v>
          </cell>
          <cell r="D808" t="str">
            <v>АРМ Aquarius Pro P30 K45 SFF1 (АМПР.466539.457) (SFF_300/R5_5600G/DDR4_8G/SSD256_M2_NVMe/WiFi/BT/KM/MON_27)</v>
          </cell>
        </row>
        <row r="828">
          <cell r="A828" t="str">
            <v>AQ-CONF-ARMP-00171</v>
          </cell>
          <cell r="D828" t="str">
            <v>АРМ Aquarius Pro P30 K45 SFF1 (АМПР.466539.457) (SFF_300/Ath_3000G/DDR4_8G/SSD256_M2_NVMe/WiFi/BT/KM/MON_27)</v>
          </cell>
        </row>
        <row r="884">
          <cell r="A884" t="str">
            <v>AQ-CONF-ARMP-00172</v>
          </cell>
          <cell r="D884" t="str">
            <v>АРМ Aquarius Pro P30 K50 USFF1 (АМПР.466539.139) (USFF/i3_12100/DDR4_8G/SSD256_M2_NVMe/WiFi/BT/KM/MON_27)</v>
          </cell>
        </row>
        <row r="902">
          <cell r="A902" t="str">
            <v>AQ-CONF-ARMP-00173</v>
          </cell>
          <cell r="D902" t="str">
            <v>АРМ Aquarius Pro P30 K50 USFF1 (АМПР.466539.139) (USFF/i5_12400/DDR4_8G/SSD256_M2_NVMe/WiFi/BT/KM/MON_27)</v>
          </cell>
        </row>
        <row r="919">
          <cell r="A919" t="str">
            <v>AQ-CONF-ARMP-00174</v>
          </cell>
          <cell r="D919" t="str">
            <v>АРМ Aquarius Pro P30 K50 USFF1 (АМПР.466539.139) (USFF/i5_12400/DDR4_8G/SSD512_M2_NVMe/WiFi/BT/KM/MON_27)</v>
          </cell>
        </row>
        <row r="937">
          <cell r="A937" t="str">
            <v>AQ-CONF-ARMP-00175</v>
          </cell>
          <cell r="D937" t="str">
            <v>АРМ Aquarius Pro P30 K50 USFF1 (АМПР.466539.139) (USFF/i7_12700/DDR4_16G/SSD512_M2_NVMe/WiFi/BT/KM/MON_27)</v>
          </cell>
        </row>
        <row r="955">
          <cell r="A955" t="str">
            <v>AQ-CONF-ARMP-00176</v>
          </cell>
          <cell r="D955" t="str">
            <v>АРМ Aquarius Pro P30 K50 USFF1 (АМПР.466539.139) (USFF/i3_13100/DDR4_8G/SSD256_M2_NVMe/WiFi/BT/KM/MON_27)</v>
          </cell>
        </row>
        <row r="973">
          <cell r="A973" t="str">
            <v>AQ-CONF-ARMP-00177</v>
          </cell>
          <cell r="D973" t="str">
            <v>АРМ Aquarius Pro P30 K50 USFF1 (АМПР.466539.139) (USFF/i5_13400/DDR4_8G/SSD256_M2_NVMe/WiFi/BT/KM/MON_27)</v>
          </cell>
        </row>
        <row r="991">
          <cell r="A991" t="str">
            <v>AQ-CONF-ARMP-00178</v>
          </cell>
          <cell r="D991" t="str">
            <v>АРМ Aquarius Pro P30 K50 USFF1 (АМПР.466539.139) (USFF/i5_13400/DDR4_8G/SSD512_M2_NVMe/WiFi/BT/KM/MON_27)</v>
          </cell>
        </row>
        <row r="1009">
          <cell r="A1009" t="str">
            <v>AQ-CONF-ARMP-00179</v>
          </cell>
          <cell r="D1009" t="str">
            <v>АРМ Aquarius Pro P30 K50 USFF1 (АМПР.466539.139) (USFF/i7_13700/DDR4_16G/SSD512_M2_NVMe/WiFi/BT/KM/MON_27)</v>
          </cell>
        </row>
        <row r="1027">
          <cell r="A1027" t="str">
            <v>AQ-CONF-ARMP-00180</v>
          </cell>
          <cell r="D1027" t="str">
            <v>АРМ Aquarius Pro P30 K50 USFF1 (АМПР.466539.139) (USFF/i3_14100/DDR4_8G/SSD512_M2_NVMe/WiFi/BT/KM/MON_27)</v>
          </cell>
        </row>
        <row r="1045">
          <cell r="A1045" t="str">
            <v>AQ-CONF-ARMP-00181</v>
          </cell>
          <cell r="D1045" t="str">
            <v>АРМ Aquarius Pro P30 K50 USFF1 (АМПР.466539.139) (USFF/i5_14400/DDR4_16G/SSD512_M2_NVMe/WiFi/BT/KM/MON_27)</v>
          </cell>
        </row>
        <row r="1063">
          <cell r="A1063" t="str">
            <v>AQ-CONF-ARMP-00182</v>
          </cell>
          <cell r="D1063" t="str">
            <v>АРМ Aquarius Pro P30 K50 USFF1 (АМПР.466539.139) (USFF/i7_14700/DDR4_16G/SSD512_M2_NVMe/WiFi/BT/KM/MON_27)</v>
          </cell>
        </row>
        <row r="1084">
          <cell r="A1084" t="str">
            <v>AQ-CONF-ARMP-00183</v>
          </cell>
          <cell r="D1084" t="str">
            <v>АРМ Aquarius Pro P30 K51 USFF1 (АМПР.466539.148) (USFF/i3_12100/DDR4_8G/SSD256_M2_NVMe/WiFi/BT/KM/MON_27)</v>
          </cell>
        </row>
        <row r="1103">
          <cell r="A1103" t="str">
            <v>AQ-CONF-ARMP-00184</v>
          </cell>
          <cell r="D1103" t="str">
            <v>АРМ Aquarius Pro P30 K51 USFF1 (АМПР.466539.148) (USFF/i5_12400/DDR4_8G/SSD256_M2_NVMe/WiFi/BT/KM/MON_27)</v>
          </cell>
        </row>
        <row r="1120">
          <cell r="A1120" t="str">
            <v>AQ-CONF-ARMP-00185</v>
          </cell>
          <cell r="D1120" t="str">
            <v>АРМ Aquarius Pro P30 K51 USFF1 (АМПР.466539.148) (USFF/i5_12400/DDR4_8G/SSD512_M2_NVMe/WiFi/BT/KM/MON_27)</v>
          </cell>
        </row>
        <row r="1139">
          <cell r="A1139" t="str">
            <v>AQ-CONF-ARMP-00186</v>
          </cell>
          <cell r="D1139" t="str">
            <v>АРМ Aquarius Pro P30 K51 USFF1 (АМПР.466539.148) (USFF/i7_12700/DDR4_16G/SSD512_M2_NVMe/WiFi/BT/KM/MON_27)</v>
          </cell>
        </row>
        <row r="1158">
          <cell r="A1158" t="str">
            <v>AQ-CONF-ARMP-00187</v>
          </cell>
          <cell r="D1158" t="str">
            <v>АРМ Aquarius Pro P30 K51 USFF1 (АМПР.466539.148) (USFF/i3_13100/DDR4_8G/SSD256_M2_NVMe/WiFi/BT/KM/MON_27)</v>
          </cell>
        </row>
        <row r="1177">
          <cell r="A1177" t="str">
            <v>AQ-CONF-ARMP-00188</v>
          </cell>
          <cell r="D1177" t="str">
            <v>АРМ Aquarius Pro P30 K51 USFF1 (АМПР.466539.148) (USFF/i5_13400/DDR4_8G/SSD256_M2_NVMe/WiFi/BT/KM/MON_27)</v>
          </cell>
        </row>
        <row r="1194">
          <cell r="A1194" t="str">
            <v>AQ-CONF-ARMP-00189</v>
          </cell>
          <cell r="D1194" t="str">
            <v>АРМ Aquarius Pro P30 K51 USFF1 (АМПР.466539.148) (USFF/i5_13400/DDR4_8G/SSD512_M2_NVMe/WiFi/BT/KM/MON_27)</v>
          </cell>
        </row>
        <row r="1215">
          <cell r="A1215" t="str">
            <v>AQ-CONF-ARMP-00190</v>
          </cell>
          <cell r="D1215" t="str">
            <v>АРМ Aquarius Pro P30 K51 USFF1 (АМПР.466539.148) (USFF/i7_13700/DDR4_16G/SSD512_M2_NVMe/WiFi/BT/KM/MON_27)</v>
          </cell>
        </row>
        <row r="1234">
          <cell r="A1234" t="str">
            <v>AQ-CONF-ARMP-00191</v>
          </cell>
          <cell r="D1234" t="str">
            <v>АРМ Aquarius Pro P30 K51 USFF1 (АМПР.466539.148) (USFF/i3_14100/DDR4_8G/SSD512_M2_NVMe/WiFi/BT/KM/MON_27)</v>
          </cell>
        </row>
        <row r="1253">
          <cell r="A1253" t="str">
            <v>AQ-CONF-ARMP-00192</v>
          </cell>
          <cell r="D1253" t="str">
            <v>АРМ Aquarius Pro P30 K51 USFF1 (АМПР.466539.148) (USFF/i5_14400/DDR4_16G/SSD512_M2_NVMe/WiFi/BT/KM/MON_27)</v>
          </cell>
        </row>
        <row r="1272">
          <cell r="A1272" t="str">
            <v>AQ-CONF-ARMP-00193</v>
          </cell>
          <cell r="D1272" t="str">
            <v>АРМ Aquarius Pro P30 K51 USFF1 (АМПР.466539.148) (USFF/i7_14700/DDR4_16G/SSD256_M2_NVMe/WiFi/BT/KM/MON_27)</v>
          </cell>
        </row>
        <row r="1288">
          <cell r="A1288" t="str">
            <v>AQ-CONF-ARMP-00194</v>
          </cell>
          <cell r="D1288" t="str">
            <v>АРМ Aquarius Pro G40 S90 (АМПР.466539.227) (MDT/PSU750/E-2244G/DDR4_8G/SSD_256GB/KM/MON_27)</v>
          </cell>
        </row>
      </sheetData>
      <sheetData sheetId="16">
        <row r="14">
          <cell r="D14" t="str">
            <v>Моноблок Aquarius Mnb Pro T424 (АМПР.466539.831) (23.8"/i3_12100/DDR5_8G/SSD256_M2_NVMe/WiFi/BT/KM)</v>
          </cell>
        </row>
        <row r="29">
          <cell r="D29" t="str">
            <v>Моноблок Aquarius Mnb Pro T424 (АМПР.466539.831) (23.8"/i5_12400/DDR5_8G/SSD256_M2_NVMe/WiFi/BT/KM)</v>
          </cell>
        </row>
        <row r="44">
          <cell r="D44" t="str">
            <v>АРМ Aquarius Mnb Pro T424 (АМПР.466539.249) (23.8"/i5_12400/DDR5_8G/SSD512_M2_NVMe/WiFi/BT/KM)</v>
          </cell>
        </row>
        <row r="59">
          <cell r="D59" t="str">
            <v>АРМ Aquarius Mnb Pro T424 (АМПР.466539.249) (23.8"/i7_12700/DDR5_16G/SSD512_M2_NVMe/WiFi/BT/KM)</v>
          </cell>
        </row>
        <row r="74">
          <cell r="D74" t="str">
            <v>АРМ Aquarius Mnb Pro T424 (АМПР.466539.249) (23.8"/i3_13100/DDR5_8G/SSD256_M2_NVMe/WiFi/BT/KM)</v>
          </cell>
        </row>
        <row r="89">
          <cell r="D89" t="str">
            <v>АРМ Aquarius Mnb Pro T424 (АМПР.466539.249) (23.8"/i5_13400/DDR5_8G/SSD256_M2_NVMe/WiFi/BT/KM)</v>
          </cell>
        </row>
        <row r="104">
          <cell r="D104" t="str">
            <v>АРМ Aquarius Mnb Pro T424 (АМПР.466539.249) (23.8"/i5_13400/DDR5_8G/SSD512_M2_NVMe/WiFi/BT/KM)</v>
          </cell>
        </row>
        <row r="119">
          <cell r="D119" t="str">
            <v>АРМ Aquarius Mnb Pro T424 (АМПР.466539.249) (23.8"/i7_13700/DDR5_16G/SSD512_M2_NVMe/WiFi/BT/KM)</v>
          </cell>
        </row>
        <row r="134">
          <cell r="D134" t="str">
            <v>АРМ Aquarius Mnb Pro T424 (АМПР.466539.249) (23.8"/i3_14100/DDR5_8G/SSD512_M2_NVMe/WiFi/BT/KM)</v>
          </cell>
        </row>
        <row r="149">
          <cell r="D149" t="str">
            <v>АРМ Aquarius Mnb Pro T424 (АМПР.466539.249) (23.8"/i5_14400/DDR5_16G/SSD512_M2_NVMe/WiFi/BT/KM)</v>
          </cell>
        </row>
        <row r="164">
          <cell r="D164" t="str">
            <v>АРМ Aquarius Mnb Pro T424 (АМПР.466539.249) (23.8"/i7_14700/DDR5_16G/SSD512_M2_NVMe/WiFi/BT/KM)</v>
          </cell>
        </row>
        <row r="181">
          <cell r="D181" t="str">
            <v>АРМ Aquarius Mnb Pro T427 (АМПР.466539.250) (27"/i3_12100/DDR5_8G/SSD256_M2_NVMe/WiFi/BT/KM)</v>
          </cell>
        </row>
        <row r="196">
          <cell r="D196" t="str">
            <v>АРМ Aquarius Mnb Pro T427 (АМПР.466539.250) (27"/i5_12400/DDR5_8G/SSD256_M2_NVMe/WiFi/BT/KM)</v>
          </cell>
        </row>
        <row r="211">
          <cell r="D211" t="str">
            <v>АРМ Aquarius Mnb Pro T427 (АМПР.466539.250) (27"/i5_12400/DDR5_8G/SSD512_M2_NVMe/WiFi/BT/KM)</v>
          </cell>
        </row>
        <row r="226">
          <cell r="D226" t="str">
            <v>АРМ Aquarius Mnb Pro T427 (АМПР.466539.250) (27"/i7_12700/DDR5_16G/SSD512_M2_NVMe/WiFi/BT/KM)</v>
          </cell>
        </row>
        <row r="241">
          <cell r="D241" t="str">
            <v>АРМ Aquarius Mnb Pro T427 (АМПР.466539.250) (27"/i3_13100/DDR5_8G/SSD256_M2_NVMe/WiFi/BT/KM)</v>
          </cell>
        </row>
        <row r="256">
          <cell r="D256" t="str">
            <v>АРМ Aquarius Mnb Pro T427 (АМПР.466539.250) (27"/i5_13400/DDR5_8G/SSD256_M2_NVMe/WiFi/BT/KM)</v>
          </cell>
        </row>
        <row r="271">
          <cell r="D271" t="str">
            <v>АРМ Aquarius Mnb Pro T427 (АМПР.466539.250) (27"/i5_13400/DDR5_8G/SSD512_M2_NVMe/WiFi/BT/KM)</v>
          </cell>
        </row>
        <row r="286">
          <cell r="D286" t="str">
            <v>АРМ Aquarius Mnb Pro T427 (АМПР.466539.250) (27"/i7_13700/DDR5_16G/SSD512_M2_NVMe/WiFi/BT/KM)</v>
          </cell>
        </row>
        <row r="301">
          <cell r="D301" t="str">
            <v>АРМ Aquarius Mnb Pro T427 (АМПР.466539.250) (27"/i3_14100/DDR5_8G/SSD512_M2_NVMe/WiFi/BT/KM)</v>
          </cell>
        </row>
        <row r="316">
          <cell r="D316" t="str">
            <v>АРМ Aquarius Mnb Pro T427 (АМПР.466539.250) (27"/i5_14400/DDR5_16G/SSD512_M2_NVMe/WiFi/BT/KM)</v>
          </cell>
        </row>
        <row r="331">
          <cell r="D331" t="str">
            <v>АРМ Aquarius Mnb Pro T427 (АМПР.466539.250) (27"/i7_14700/DDR5_16G/SSD512_M2_NVMe/WiFi/BT/KM)</v>
          </cell>
        </row>
        <row r="345">
          <cell r="D345" t="str">
            <v>АРМ Aquarius Mnb Pro T924 (АМПР.466539.816) (23,8"/i3_12100/DDR4_8G/SSD256_M2_NVMe/WiFi/BT/KM)</v>
          </cell>
        </row>
        <row r="361">
          <cell r="D361" t="str">
            <v>АРМ Aquarius Mnb Pro T924 (АМПР.466539.816) (23,8"/i5_12400/DDR4_8G/SSD256_M2_NVMe/WiFi/BT/KM)</v>
          </cell>
        </row>
        <row r="375">
          <cell r="D375" t="str">
            <v>АРМ Aquarius Mnb Pro T924 (АМПР.466539.816) (23,8"/i5_12400/DDR4_8G/SSD512_M2_NVMe/WiFi/BT/KM)</v>
          </cell>
        </row>
        <row r="393">
          <cell r="D393" t="str">
            <v>АРМ Aquarius Mnb Pro T924 (АМПР.466539.816) (23,8"/i7_12700/DDR4_16G/SSD512_M2_NVMe/WiFi/BT/KM)</v>
          </cell>
        </row>
        <row r="409">
          <cell r="D409" t="str">
            <v>АРМ Aquarius Mnb Pro T924 (АМПР.466539.816) (23,8"/i3_13100/DDR4_8G/SSD256_M2_NVMe/WiFi/BT/KM)</v>
          </cell>
        </row>
        <row r="425">
          <cell r="D425" t="str">
            <v>АРМ Aquarius Mnb Pro T924 (АМПР.466539.816) (23,8"/i5_13400/DDR4_8G/SSD256_M2_NVMe/WiFi/BT/KM)</v>
          </cell>
        </row>
        <row r="439">
          <cell r="D439" t="str">
            <v>АРМ Aquarius Mnb Pro T924 (АМПР.466539.816) (23,8"/i5_13400/DDR4_8G/SSD512_M2_NVMe/WiFi/BT/KM)</v>
          </cell>
        </row>
        <row r="457">
          <cell r="D457" t="str">
            <v>АРМ Aquarius Mnb Pro T924 (АМПР.466539.816) (23,8"/i7_13700/DDR4_16G/SSD512_M2_NVMe/WiFi/BT/KM)</v>
          </cell>
        </row>
        <row r="473">
          <cell r="D473" t="str">
            <v>АРМ Aquarius Mnb Pro T924 (АМПР.466539.816) (23,8"/i3_14100/DDR4_8G/SSD512_M2_NVMe/WiFi/BT/KM)</v>
          </cell>
        </row>
        <row r="489">
          <cell r="D489" t="str">
            <v>АРМ Aquarius Mnb Pro T924 (АМПР.466539.816) (23,8"/i5_14400/DDR4_16G/SSD512_M2_NVMe/WiFi/BT/KM)</v>
          </cell>
        </row>
        <row r="505">
          <cell r="D505" t="str">
            <v>АРМ Aquarius Mnb Pro T924 (АМПР.466539.816) (23,8"/i7_14700/DDR4_16G/SSD512_M2_NVMe/WiFi/BT/KM)</v>
          </cell>
        </row>
        <row r="521">
          <cell r="D521" t="str">
            <v>АРМ Aquarius Mnb Pro T927 (АМПР.466539.304) (27"/i3_12100/DDR4_8G/SSD256_M2_NVMe/WiFi/BT/KM)</v>
          </cell>
        </row>
        <row r="537">
          <cell r="D537" t="str">
            <v>АРМ Aquarius Mnb Pro T927 (АМПР.466539.304) (27"/i5_12400/DDR4_8G/SSD256_M2_NVMe/WiFi/BT/KM)</v>
          </cell>
        </row>
        <row r="551">
          <cell r="D551" t="str">
            <v>АРМ Aquarius Mnb Pro T927 (АМПР.466539.304) (27"/i5_12400/DDR4_8G/SSD512_M2_NVMe/WiFi/BT/KM)</v>
          </cell>
        </row>
        <row r="567">
          <cell r="D567" t="str">
            <v>АРМ Aquarius Mnb Pro T927 (АМПР.466539.304) (27"/i7_12700/DDR4_16G/SSD512_M2_NVMe/WiFi/BT/KM)</v>
          </cell>
        </row>
        <row r="582">
          <cell r="D582" t="str">
            <v>АРМ Aquarius Mnb Pro T927 (АМПР.466539.304) (27"/i3_13100/DDR4_8G/SSD256_M2_NVMe/WiFi/BT/KM)</v>
          </cell>
        </row>
        <row r="597">
          <cell r="D597" t="str">
            <v>АРМ Aquarius Mnb Pro T927 (АМПР.466539.304) (27"/i5_13400/DDR4_8G/SSD256_M2_NVMe/WiFi/BT/KM)</v>
          </cell>
        </row>
        <row r="611">
          <cell r="D611" t="str">
            <v>АРМ Aquarius Mnb Pro T927 (АМПР.466539.304) (27"/i5_13400/DDR4_8G/SSD512_M2_NVMe/WiFi/BT/KM)</v>
          </cell>
        </row>
        <row r="627">
          <cell r="D627" t="str">
            <v>АРМ Aquarius Mnb Pro T927 (АМПР.466539.304) (27"/i7_13700/DDR4_16G/SSD512_M2_NVMe/WiFi/BT/KM)</v>
          </cell>
        </row>
        <row r="642">
          <cell r="D642" t="str">
            <v>АРМ Aquarius Mnb Pro T927 (АМПР.466539.304) (27"/i3_14100/DDR4_8G/SSD512_M2_NVMe/WiFi/BT/KM)</v>
          </cell>
        </row>
        <row r="657">
          <cell r="D657" t="str">
            <v>АРМ Aquarius Mnb Pro T927 (АМПР.466539.304) (27"/i5_14400/DDR4_16G/SSD512_M2_NVMe/WiFi/BT/KM)</v>
          </cell>
        </row>
        <row r="672">
          <cell r="D672" t="str">
            <v>АРМ Aquarius Mnb Pro T927 (АМПР.466539.304) (27"/i7_14700/DDR4_16G/SSD512_M2_NVMe/WiFi/BT/KM)</v>
          </cell>
        </row>
        <row r="686">
          <cell r="D686" t="str">
            <v>АРМ Aquarius Mnb Pro T904 (АМПР.466539.466) (23.8"/i3_10100/DDR4_8G/SSD256_M2_NVMe/WiFi/BT/KM)</v>
          </cell>
        </row>
        <row r="700">
          <cell r="D700" t="str">
            <v>АРМ Aquarius Mnb Pro T904 (АМПР.466539.466) (23.8"/i5_10500/DDR4_8G/SSD256_M2_NVMe/WiFi/BT/KM)</v>
          </cell>
        </row>
        <row r="714">
          <cell r="D714" t="str">
            <v>АРМ Aquarius Mnb Pro T907 (АМПР.466539.301) (27"/i3_10100/DDR4_8G/SSD256_M2_NVMe/WiFi/BT/KM)</v>
          </cell>
        </row>
        <row r="727">
          <cell r="D727" t="str">
            <v>АРМ Aquarius Mnb Pro T907 (АМПР.466539.301) (27"/i5_10500/DDR4_8G/SSD256_M2_NVMe/WiFi/BT/KM)</v>
          </cell>
        </row>
        <row r="744">
          <cell r="D744" t="str">
            <v>АРМ Aquarius Mnb Pro T314 (АМПР.466539.453) (23.8"/R5_5600G/DDR4_8G/SSD256_M2_NVMe/WiFi/BT/KM)</v>
          </cell>
        </row>
      </sheetData>
      <sheetData sheetId="17">
        <row r="13">
          <cell r="A13" t="str">
            <v>AQC-SFT-00012</v>
          </cell>
        </row>
        <row r="14">
          <cell r="A14" t="str">
            <v>AQC-SFT-00013</v>
          </cell>
        </row>
        <row r="19">
          <cell r="A19" t="str">
            <v>AQC-SFT-00014</v>
          </cell>
        </row>
        <row r="20">
          <cell r="A20" t="str">
            <v>AQC-SFT-00015</v>
          </cell>
          <cell r="D20" t="str">
            <v>Альт Рабочая станция / 1292 / Лицензия на право использования Альт Рабочая станция 10 / бессрочная / арх. х86_64</v>
          </cell>
        </row>
        <row r="21">
          <cell r="A21" t="str">
            <v>AQC-SFT-00016</v>
          </cell>
          <cell r="D21" t="str">
            <v>ОC Альт СП / 4305 / Лицензия на право использования Альт СП Рабочая станция релиз 10 / бессрочная / ФСТЭК / kit / арх.64 бит</v>
          </cell>
        </row>
        <row r="22">
          <cell r="A22" t="str">
            <v>AQC-SFT-00017</v>
          </cell>
          <cell r="D22" t="str">
            <v>ОC Альт СП / 4305 / Лицензия на право использования Альт СП Рабочая станция релиз 10 / бессрочная / ФСТЭК / арх.64 бит</v>
          </cell>
        </row>
        <row r="23">
          <cell r="A23" t="str">
            <v>AQC-SFT-00018</v>
          </cell>
        </row>
        <row r="24">
          <cell r="A24" t="str">
            <v>AQC-SFT-00019</v>
          </cell>
        </row>
        <row r="25">
          <cell r="D25" t="str">
            <v xml:space="preserve">МойОфис Стандартный. Лицензия для использования ПО исключительно на устройстве с операционной системой семейства Linux, без ограничения срока действия, с правом на получение обновлений в течение 18 месяцев с даты передачи заказчику устройства с предустановленным ПО. </v>
          </cell>
        </row>
        <row r="26">
          <cell r="D26" t="str">
            <v>Р7-Офис.Профессиональный (Десктопная версия), лицензия для разработчиков без ограничения срока действия</v>
          </cell>
        </row>
      </sheetData>
      <sheetData sheetId="18"/>
      <sheetData sheetId="19"/>
      <sheetData sheetId="20"/>
      <sheetData sheetId="21">
        <row r="68">
          <cell r="A68" t="str">
            <v>AQC-RAM-00329</v>
          </cell>
        </row>
        <row r="69">
          <cell r="A69" t="str">
            <v>AQC-RAM-00328</v>
          </cell>
        </row>
        <row r="70">
          <cell r="A70" t="str">
            <v>AQC-RAM-00330</v>
          </cell>
          <cell r="D70" t="str">
            <v>RAM SO-DIMM DDR4 8GB 3200MHz RU AQ</v>
          </cell>
        </row>
        <row r="71">
          <cell r="A71" t="str">
            <v>AQC-RAM-00331</v>
          </cell>
        </row>
      </sheetData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айс_Сводная"/>
      <sheetName val="Прайс от 20.01.25"/>
      <sheetName val="Прайс_АРМ"/>
      <sheetName val="B760M"/>
      <sheetName val="H610"/>
      <sheetName val="Сравнение"/>
      <sheetName val="AQH410T"/>
      <sheetName val="246DF"/>
      <sheetName val="AQX300M"/>
      <sheetName val="Платформы ПК с БП"/>
      <sheetName val="Ноут14&quot;"/>
      <sheetName val="Ноут16&quot;"/>
      <sheetName val="715R"/>
      <sheetName val="Зеленый коридор"/>
      <sheetName val="ДЗиЛ"/>
      <sheetName val="Mon"/>
      <sheetName val="АРМ (ПК без мониторов) "/>
      <sheetName val="АРМ (ПК+24)"/>
      <sheetName val="АРМ (ПК+27)"/>
      <sheetName val="АРМ (Моноблоки)"/>
      <sheetName val="ПО "/>
      <sheetName val="Компоненты"/>
      <sheetName val="Замечания"/>
      <sheetName val="Процы"/>
      <sheetName val="Options"/>
      <sheetName val="CostПД"/>
      <sheetName val="UID"/>
      <sheetName val="Справочник_клиентский"/>
      <sheetName val="UID 1C"/>
      <sheetName val="Валидация"/>
      <sheetName val="склад 2910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0">
          <cell r="D60" t="str">
            <v>Машина портативная персональная электронно-вычислительная Aquarius Cmp NS934 (АМПР.466539.226) (14" WUXGA(FHD)/i7_1360P/DDR5_16G/SSD512_M2/WiFi/BT/DS)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332C-091E-4B0C-9CFE-F7D72766B84B}">
  <sheetPr>
    <tabColor theme="5" tint="0.39997558519241921"/>
  </sheetPr>
  <dimension ref="A1:F236"/>
  <sheetViews>
    <sheetView showGridLines="0" tabSelected="1" zoomScale="80" zoomScaleNormal="80" zoomScaleSheetLayoutView="91" workbookViewId="0">
      <pane ySplit="9" topLeftCell="A130" activePane="bottomLeft" state="frozen"/>
      <selection activeCell="C47" sqref="C47"/>
      <selection pane="bottomLeft" activeCell="B153" sqref="B153"/>
    </sheetView>
  </sheetViews>
  <sheetFormatPr defaultColWidth="9.140625" defaultRowHeight="15" outlineLevelRow="2" x14ac:dyDescent="0.25"/>
  <cols>
    <col min="1" max="1" width="37.85546875" style="43" customWidth="1"/>
    <col min="2" max="2" width="133.85546875" style="44" customWidth="1"/>
    <col min="3" max="3" width="27.140625" style="45" customWidth="1"/>
    <col min="4" max="4" width="12.5703125" style="46" customWidth="1"/>
    <col min="5" max="6" width="10.7109375" style="46" customWidth="1"/>
    <col min="7" max="7" width="9.140625" style="5" customWidth="1"/>
    <col min="8" max="16384" width="9.140625" style="5"/>
  </cols>
  <sheetData>
    <row r="1" spans="1:6" x14ac:dyDescent="0.25">
      <c r="A1" s="1"/>
      <c r="B1" s="2" t="s">
        <v>0</v>
      </c>
      <c r="C1" s="3"/>
      <c r="D1" s="4"/>
      <c r="E1" s="4"/>
      <c r="F1" s="4"/>
    </row>
    <row r="2" spans="1:6" x14ac:dyDescent="0.25">
      <c r="A2" s="1"/>
      <c r="B2" s="2" t="s">
        <v>1</v>
      </c>
      <c r="C2" s="3"/>
      <c r="D2" s="4"/>
      <c r="E2" s="4"/>
      <c r="F2" s="4"/>
    </row>
    <row r="3" spans="1:6" x14ac:dyDescent="0.25">
      <c r="A3" s="6" t="s">
        <v>2</v>
      </c>
      <c r="B3" s="2" t="s">
        <v>3</v>
      </c>
      <c r="C3" s="3"/>
      <c r="D3" s="4"/>
      <c r="E3" s="4"/>
      <c r="F3" s="4"/>
    </row>
    <row r="4" spans="1:6" x14ac:dyDescent="0.25">
      <c r="A4" s="1"/>
      <c r="B4" s="2" t="s">
        <v>4</v>
      </c>
      <c r="C4" s="3"/>
      <c r="D4" s="4"/>
      <c r="E4" s="4"/>
      <c r="F4" s="4"/>
    </row>
    <row r="5" spans="1:6" x14ac:dyDescent="0.25">
      <c r="A5" s="1"/>
      <c r="B5" s="2" t="s">
        <v>5</v>
      </c>
      <c r="C5" s="3"/>
      <c r="D5" s="4"/>
      <c r="E5" s="4"/>
      <c r="F5" s="4"/>
    </row>
    <row r="6" spans="1:6" x14ac:dyDescent="0.25">
      <c r="A6" s="1"/>
      <c r="B6" s="2" t="s">
        <v>6</v>
      </c>
      <c r="C6" s="3"/>
      <c r="D6" s="4"/>
      <c r="E6" s="4"/>
      <c r="F6" s="4"/>
    </row>
    <row r="7" spans="1:6" x14ac:dyDescent="0.25">
      <c r="A7" s="1"/>
      <c r="B7" s="7"/>
      <c r="C7" s="3"/>
      <c r="D7" s="4"/>
      <c r="E7" s="4"/>
      <c r="F7" s="4"/>
    </row>
    <row r="8" spans="1:6" s="13" customFormat="1" x14ac:dyDescent="0.25">
      <c r="A8" s="8"/>
      <c r="B8" s="9"/>
      <c r="C8" s="8"/>
      <c r="D8" s="10" t="s">
        <v>7</v>
      </c>
      <c r="E8" s="11"/>
      <c r="F8" s="12"/>
    </row>
    <row r="9" spans="1:6" s="15" customFormat="1" ht="30" customHeight="1" x14ac:dyDescent="0.25">
      <c r="A9" s="14" t="str">
        <f>[1]B760M!A6</f>
        <v>UID</v>
      </c>
      <c r="B9" s="14" t="str">
        <f>[1]B760M!D6</f>
        <v>Наименование</v>
      </c>
      <c r="C9" s="14" t="s">
        <v>8</v>
      </c>
      <c r="D9" s="64" t="s">
        <v>9</v>
      </c>
      <c r="E9" s="65"/>
      <c r="F9" s="66"/>
    </row>
    <row r="10" spans="1:6" s="13" customFormat="1" ht="36" customHeight="1" x14ac:dyDescent="0.25">
      <c r="A10" s="8" t="s">
        <v>0</v>
      </c>
      <c r="B10" s="9"/>
      <c r="C10" s="8"/>
      <c r="D10" s="8"/>
      <c r="E10" s="8"/>
      <c r="F10" s="8"/>
    </row>
    <row r="11" spans="1:6" s="19" customFormat="1" ht="18.75" outlineLevel="1" x14ac:dyDescent="0.25">
      <c r="A11" s="16" t="s">
        <v>10</v>
      </c>
      <c r="B11" s="17"/>
      <c r="C11" s="18"/>
      <c r="D11" s="18"/>
      <c r="E11" s="18"/>
      <c r="F11" s="18"/>
    </row>
    <row r="12" spans="1:6" outlineLevel="1" x14ac:dyDescent="0.25">
      <c r="A12" s="20" t="str">
        <f>[1]B760M!A21</f>
        <v>AQ-CONF-PRO-00084</v>
      </c>
      <c r="B12" s="21" t="str">
        <f>[1]B760M!D21</f>
        <v>ПЭВМ Aquarius Pro K720 (АМПР.466539.254) (SFF_300/i3_12100/DDR5_8G/SSD256_M2_NVMe/WiFi/BT/KM)</v>
      </c>
      <c r="C12" s="22">
        <v>881</v>
      </c>
      <c r="D12" s="23"/>
      <c r="E12" s="23"/>
      <c r="F12" s="23"/>
    </row>
    <row r="13" spans="1:6" outlineLevel="1" x14ac:dyDescent="0.25">
      <c r="A13" s="20" t="str">
        <f>[1]B760M!A40</f>
        <v>AQ-CONF-PRO-000100</v>
      </c>
      <c r="B13" s="21" t="str">
        <f>[1]B760M!D40</f>
        <v>ПЭВМ Aquarius Pro K720 (АМПР.466539.254) (SFF_300/i5_12400/DDR5_8G/SSD256_M2_NVMe/WiFi/BT/KM)</v>
      </c>
      <c r="C13" s="22">
        <v>983</v>
      </c>
      <c r="D13" s="23"/>
      <c r="E13" s="23"/>
      <c r="F13" s="23"/>
    </row>
    <row r="14" spans="1:6" outlineLevel="1" x14ac:dyDescent="0.25">
      <c r="A14" s="20" t="str">
        <f>[1]B760M!A58</f>
        <v>AQ-CONF-PRO-000101</v>
      </c>
      <c r="B14" s="21" t="str">
        <f>[1]B760M!D58</f>
        <v>ПЭВМ Aquarius Pro K720 (АМПР.466539.254) (SFF_300/i5_12400/DDR5_8G/SSD512_M2_NVMe/WiFi/BT/KM)</v>
      </c>
      <c r="C14" s="22">
        <v>1008</v>
      </c>
      <c r="D14" s="23"/>
      <c r="E14" s="23"/>
      <c r="F14" s="23"/>
    </row>
    <row r="15" spans="1:6" outlineLevel="1" x14ac:dyDescent="0.25">
      <c r="A15" s="20" t="str">
        <f>[1]B760M!A79</f>
        <v>AQ-CONF-PRO-000103</v>
      </c>
      <c r="B15" s="21" t="str">
        <f>[1]B760M!D79</f>
        <v>ПЭВМ Aquarius Pro K720 (АМПР.466539.254) (SFF_300/i3_13100/DDR5_8G/SSD256_M2_NVMe/WiFi/BT/KM)</v>
      </c>
      <c r="C15" s="22">
        <v>967</v>
      </c>
      <c r="D15" s="23"/>
      <c r="E15" s="23"/>
      <c r="F15" s="23"/>
    </row>
    <row r="16" spans="1:6" outlineLevel="1" x14ac:dyDescent="0.25">
      <c r="A16" s="20" t="str">
        <f>[1]B760M!A98</f>
        <v>AQ-CONF-PRO-000104</v>
      </c>
      <c r="B16" s="21" t="str">
        <f>[1]B760M!D98</f>
        <v>ПЭВМ Aquarius Pro K720 (АМПР.466539.254) (SFF_300/i5_13400/DDR5_8G/SSD256_M2_NVMe/WiFi/BT/KM)</v>
      </c>
      <c r="C16" s="22">
        <v>1110</v>
      </c>
      <c r="D16" s="23"/>
      <c r="E16" s="23"/>
      <c r="F16" s="23"/>
    </row>
    <row r="17" spans="1:6" outlineLevel="1" x14ac:dyDescent="0.25">
      <c r="A17" s="20" t="str">
        <f>[1]B760M!A117</f>
        <v>AQ-CONF-PRO-000105</v>
      </c>
      <c r="B17" s="21" t="str">
        <f>[1]B760M!D117</f>
        <v>ПЭВМ Aquarius Pro K720 (АМПР.466539.254) (SFF_300/i5_13400/DDR5_8G/SSD512_M2_NVMe/WiFi/BT/KM)</v>
      </c>
      <c r="C17" s="22">
        <v>1135</v>
      </c>
      <c r="D17" s="23"/>
      <c r="E17" s="23"/>
      <c r="F17" s="23"/>
    </row>
    <row r="18" spans="1:6" outlineLevel="1" x14ac:dyDescent="0.25">
      <c r="A18" s="20" t="str">
        <f>[1]B760M!A137</f>
        <v>AQ-CONF-PRO-000107</v>
      </c>
      <c r="B18" s="21" t="str">
        <f>[1]B760M!D137</f>
        <v>ПЭВМ Aquarius Pro K720 (АМПР.466539.254) (SFF_300/i3_14100/DDR5_8G/SSD512_M2_NVMe/WiFi/BT/KM)</v>
      </c>
      <c r="C18" s="22">
        <v>994</v>
      </c>
      <c r="D18" s="23"/>
      <c r="E18" s="23"/>
      <c r="F18" s="23"/>
    </row>
    <row r="19" spans="1:6" outlineLevel="1" x14ac:dyDescent="0.25">
      <c r="A19" s="20" t="str">
        <f>[1]B760M!A156</f>
        <v>AQ-CONF-PRO-000108</v>
      </c>
      <c r="B19" s="21" t="str">
        <f>[1]B760M!D156</f>
        <v>ПЭВМ Aquarius Pro K720 (АМПР.466539.254) (SFF_300/i5_14400/DDR5_16G/SSD512_M2_NVMe/WiFi/BT/KM)</v>
      </c>
      <c r="C19" s="22">
        <v>1274</v>
      </c>
      <c r="D19" s="23"/>
      <c r="E19" s="23"/>
      <c r="F19" s="23"/>
    </row>
    <row r="20" spans="1:6" s="19" customFormat="1" ht="18.75" outlineLevel="1" x14ac:dyDescent="0.25">
      <c r="A20" s="16" t="s">
        <v>11</v>
      </c>
      <c r="B20" s="17"/>
      <c r="C20" s="18"/>
      <c r="D20" s="18"/>
      <c r="E20" s="18"/>
      <c r="F20" s="18"/>
    </row>
    <row r="21" spans="1:6" outlineLevel="1" x14ac:dyDescent="0.25">
      <c r="A21" s="20" t="str">
        <f>[1]B760M!A175</f>
        <v>AQ-CONF-PRO-00086</v>
      </c>
      <c r="B21" s="21" t="str">
        <f>[1]B760M!D175</f>
        <v>ПЭВМ Aquarius Pro K730 (АМПР.466539.821) (SFF_300/i3_12100/DDR5_8G/SSD256_M2_NVMe/WiFi/BT/KM)</v>
      </c>
      <c r="C21" s="22">
        <v>836</v>
      </c>
      <c r="D21" s="23"/>
      <c r="E21" s="23"/>
      <c r="F21" s="23"/>
    </row>
    <row r="22" spans="1:6" outlineLevel="1" x14ac:dyDescent="0.25">
      <c r="A22" s="20" t="str">
        <f>[1]B760M!A194</f>
        <v>AQ-CONF-PRO-000110</v>
      </c>
      <c r="B22" s="21" t="str">
        <f>[1]B760M!D194</f>
        <v>ПЭВМ Aquarius Pro K730 (АМПР.466539.821) (SFF_300/i5_12400/DDR5_8G/SSD256_M2_NVMe/WiFi/BT/KM)</v>
      </c>
      <c r="C22" s="22">
        <v>919</v>
      </c>
      <c r="D22" s="23"/>
      <c r="E22" s="23"/>
      <c r="F22" s="23"/>
    </row>
    <row r="23" spans="1:6" outlineLevel="1" x14ac:dyDescent="0.25">
      <c r="A23" s="20" t="str">
        <f>[1]B760M!A211</f>
        <v>AQ-CONF-PRO-000111</v>
      </c>
      <c r="B23" s="21" t="str">
        <f>[1]B760M!D211</f>
        <v>ПЭВМ Aquarius Pro K730 (АМПР.466539.821) (SFF_300/i5_12400/DDR5_8G/SSD512_M2_NVMe/WiFi/BT/KM)</v>
      </c>
      <c r="C23" s="22">
        <v>944</v>
      </c>
      <c r="D23" s="23"/>
      <c r="E23" s="23"/>
      <c r="F23" s="23"/>
    </row>
    <row r="24" spans="1:6" outlineLevel="1" x14ac:dyDescent="0.25">
      <c r="A24" s="20" t="str">
        <f>[1]B760M!A229</f>
        <v>AQ-CONF-PRO-000113</v>
      </c>
      <c r="B24" s="21" t="str">
        <f>[1]B760M!D229</f>
        <v>ПЭВМ Aquarius Pro K730 (АМПР.466539.821) (SFF_300/i3_13100/DDR5_8G/SSD256_M2_NVMe/WiFi/BT/KM)</v>
      </c>
      <c r="C24" s="22">
        <v>903</v>
      </c>
      <c r="D24" s="23"/>
      <c r="E24" s="23"/>
      <c r="F24" s="23"/>
    </row>
    <row r="25" spans="1:6" outlineLevel="1" x14ac:dyDescent="0.25">
      <c r="A25" s="20" t="str">
        <f>[1]B760M!A246</f>
        <v>AQ-CONF-PRO-000114</v>
      </c>
      <c r="B25" s="21" t="str">
        <f>[1]B760M!D246</f>
        <v>ПЭВМ Aquarius Pro K730 (АМПР.466539.821) (SFF_300/i5_13400/DDR5_8G/SSD256_M2_NVMe/WiFi/BT/KM)</v>
      </c>
      <c r="C25" s="22">
        <v>1046</v>
      </c>
      <c r="D25" s="23"/>
      <c r="E25" s="23"/>
      <c r="F25" s="23"/>
    </row>
    <row r="26" spans="1:6" outlineLevel="1" x14ac:dyDescent="0.25">
      <c r="A26" s="20" t="str">
        <f>[1]B760M!A263</f>
        <v>AQ-CONF-PRO-000115</v>
      </c>
      <c r="B26" s="21" t="str">
        <f>[1]B760M!D263</f>
        <v>ПЭВМ Aquarius Pro K730 (АМПР.466539.821) (SFF_300/i5_13400/DDR5_8G/SSD512_M2_NVMe/WiFi/BT/KM)</v>
      </c>
      <c r="C26" s="22">
        <v>1071</v>
      </c>
      <c r="D26" s="23"/>
      <c r="E26" s="23"/>
      <c r="F26" s="23"/>
    </row>
    <row r="27" spans="1:6" outlineLevel="1" x14ac:dyDescent="0.25">
      <c r="A27" s="20" t="str">
        <f>[1]B760M!A281</f>
        <v>AQ-CONF-PRO-000117</v>
      </c>
      <c r="B27" s="21" t="str">
        <f>[1]B760M!D281</f>
        <v>ПЭВМ Aquarius Pro K730 (АМПР.466539.821) (SFF_300/i3_14100/DDR5_8G/SSD256_M2_NVMe/WiFi/BT/KM)</v>
      </c>
      <c r="C27" s="22">
        <v>905</v>
      </c>
      <c r="D27" s="23"/>
      <c r="E27" s="23"/>
      <c r="F27" s="23"/>
    </row>
    <row r="28" spans="1:6" outlineLevel="1" x14ac:dyDescent="0.25">
      <c r="A28" s="20" t="str">
        <f>[1]B760M!A298</f>
        <v>AQ-CONF-PRO-000118</v>
      </c>
      <c r="B28" s="21" t="str">
        <f>[1]B760M!D298</f>
        <v>ПЭВМ Aquarius Pro K730 (АМПР.466539.821) (SFF_300/i5_14400/DDR5_16G/SSD512_M2_NVMe/WiFi/BT/KM)</v>
      </c>
      <c r="C28" s="22">
        <v>1210</v>
      </c>
      <c r="D28" s="23"/>
      <c r="E28" s="23"/>
      <c r="F28" s="23"/>
    </row>
    <row r="29" spans="1:6" s="19" customFormat="1" ht="18.75" outlineLevel="1" x14ac:dyDescent="0.25">
      <c r="A29" s="16" t="s">
        <v>12</v>
      </c>
      <c r="B29" s="17"/>
      <c r="C29" s="18"/>
      <c r="D29" s="18"/>
      <c r="E29" s="18"/>
      <c r="F29" s="18"/>
    </row>
    <row r="30" spans="1:6" outlineLevel="1" x14ac:dyDescent="0.25">
      <c r="A30" s="20" t="str">
        <f>[1]B760M!A318</f>
        <v>AQ-CONF-PRO-00087</v>
      </c>
      <c r="B30" s="21" t="str">
        <f>[1]B760M!D318</f>
        <v>ПЭВМ Aquarius Pro K760 (АМПР.466539.823) (MNT/PSU400/i3_12100/DDR5_8G/SSD256_M2_NVMe/WiFi/BT/KM)</v>
      </c>
      <c r="C30" s="22">
        <v>872.5</v>
      </c>
      <c r="D30" s="23"/>
      <c r="E30" s="23"/>
      <c r="F30" s="23"/>
    </row>
    <row r="31" spans="1:6" outlineLevel="1" x14ac:dyDescent="0.25">
      <c r="A31" s="20" t="str">
        <f>[1]B760M!A336</f>
        <v>AQ-CONF-PRO-000120</v>
      </c>
      <c r="B31" s="21" t="str">
        <f>[1]B760M!D336</f>
        <v>ПЭВМ Aquarius Pro K760 (АМПР.466539.823) (MNT/PSU400/i5_12400/DDR5_8G/SSD256_M2_NVMe/WiFi/BT/KM)</v>
      </c>
      <c r="C31" s="22">
        <v>974.1360199999998</v>
      </c>
      <c r="D31" s="23"/>
      <c r="E31" s="23"/>
      <c r="F31" s="23"/>
    </row>
    <row r="32" spans="1:6" outlineLevel="1" x14ac:dyDescent="0.25">
      <c r="A32" s="20" t="str">
        <f>[1]B760M!A354</f>
        <v>AQ-CONF-PRO-000121</v>
      </c>
      <c r="B32" s="21" t="str">
        <f>[1]B760M!D354</f>
        <v>ПЭВМ Aquarius Pro K760 (АМПР.466539.823) (MNT/PSU400/i5_12400/DDR5_8G/SSD512_M2_NVMe/WiFi/BT/KM)</v>
      </c>
      <c r="C32" s="22">
        <v>999.23601999999983</v>
      </c>
      <c r="D32" s="23"/>
      <c r="E32" s="23"/>
      <c r="F32" s="23"/>
    </row>
    <row r="33" spans="1:6" outlineLevel="1" x14ac:dyDescent="0.25">
      <c r="A33" s="20" t="str">
        <f>[1]B760M!$A$372</f>
        <v>AQ-CONF-PRO-000153</v>
      </c>
      <c r="B33" s="21" t="str">
        <f>[1]B760M!$D372</f>
        <v>ПЭВМ Aquarius Pro K760 (АМПР.466539.823) (MNT/PSU400/i5_12400/DDR5_16G/SSD512_M2_NVMe/WiFi/BT/KM)</v>
      </c>
      <c r="C33" s="22">
        <v>1042.6590199999998</v>
      </c>
      <c r="D33" s="23"/>
      <c r="E33" s="23"/>
      <c r="F33" s="23"/>
    </row>
    <row r="34" spans="1:6" outlineLevel="1" x14ac:dyDescent="0.25">
      <c r="A34" s="20" t="str">
        <f>[1]B760M!A481</f>
        <v>AQ-CONF-PRO-000122</v>
      </c>
      <c r="B34" s="21" t="str">
        <f>[1]B760M!D481</f>
        <v>ПЭВМ Aquarius Pro K760 (АМПР.466539.823) (MNT/PSU400/i7_12700/DDR5_16G/SSD512_M2_NVMe/WiFi/BT/KM)</v>
      </c>
      <c r="C34" s="22">
        <v>1366.2811284799348</v>
      </c>
      <c r="D34" s="23"/>
      <c r="E34" s="23"/>
      <c r="F34" s="23"/>
    </row>
    <row r="35" spans="1:6" outlineLevel="1" x14ac:dyDescent="0.25">
      <c r="A35" s="20" t="str">
        <f>[1]B760M!A390</f>
        <v>AQ-CONF-PRO-000123</v>
      </c>
      <c r="B35" s="21" t="str">
        <f>[1]B760M!D390</f>
        <v>ПЭВМ Aquarius Pro K760 (АМПР.466539.823) (MNT/PSU400/i3_13100/DDR5_8G/SSD256_M2_NVMe/WiFi/BT/KM)</v>
      </c>
      <c r="C35" s="22">
        <v>957.82101999999986</v>
      </c>
      <c r="D35" s="23"/>
      <c r="E35" s="23"/>
      <c r="F35" s="23"/>
    </row>
    <row r="36" spans="1:6" outlineLevel="1" x14ac:dyDescent="0.25">
      <c r="A36" s="20" t="str">
        <f>[1]B760M!A408</f>
        <v>AQ-CONF-PRO-000124</v>
      </c>
      <c r="B36" s="21" t="str">
        <f>[1]B760M!D408</f>
        <v>ПЭВМ Aquarius Pro K760 (АМПР.466539.823) (MNT/PSU400/i5_13400/DDR5_8G/SSD256_M2_NVMe/WiFi/BT/KM)</v>
      </c>
      <c r="C36" s="22">
        <v>1100.89102</v>
      </c>
      <c r="D36" s="23"/>
      <c r="E36" s="23"/>
      <c r="F36" s="23"/>
    </row>
    <row r="37" spans="1:6" outlineLevel="1" x14ac:dyDescent="0.25">
      <c r="A37" s="20" t="str">
        <f>[1]B760M!A426</f>
        <v>AQ-CONF-PRO-000125</v>
      </c>
      <c r="B37" s="21" t="str">
        <f>[1]B760M!D426</f>
        <v>ПЭВМ Aquarius Pro K760 (АМПР.466539.823) (MNT/PSU400/i5_13400/DDR5_8G/SSD512_M2_NVMe/WiFi/BT/KM)</v>
      </c>
      <c r="C37" s="22">
        <v>1125.9910199999999</v>
      </c>
      <c r="D37" s="23"/>
      <c r="E37" s="23"/>
      <c r="F37" s="23"/>
    </row>
    <row r="38" spans="1:6" outlineLevel="1" x14ac:dyDescent="0.25">
      <c r="A38" s="20" t="str">
        <f>[1]B760M!A499</f>
        <v>AQ-CONF-PRO-000126</v>
      </c>
      <c r="B38" s="21" t="str">
        <f>[1]B760M!D499</f>
        <v>ПЭВМ Aquarius Pro K760 (АМПР.466539.823) (MNT/PSU400/i7_13700/DDR5_16G/SSD512_M2_NVMe/WiFi/BT/KM)</v>
      </c>
      <c r="C38" s="22">
        <v>1756.5788126989362</v>
      </c>
      <c r="D38" s="23"/>
      <c r="E38" s="23"/>
      <c r="F38" s="23"/>
    </row>
    <row r="39" spans="1:6" outlineLevel="1" x14ac:dyDescent="0.25">
      <c r="A39" s="20" t="str">
        <f>[1]B760M!A445</f>
        <v>AQ-CONF-PRO-000127</v>
      </c>
      <c r="B39" s="21" t="str">
        <f>[1]B760M!D445</f>
        <v>ПЭВМ Aquarius Pro K760 (АМПР.466539.823) (MNT/PSU400/i3_14100/DDR5_8G/SSD512_M2_NVMe/WiFi/BT/KM)</v>
      </c>
      <c r="C39" s="22">
        <v>985.43101999999988</v>
      </c>
      <c r="D39" s="23"/>
      <c r="E39" s="23"/>
      <c r="F39" s="23"/>
    </row>
    <row r="40" spans="1:6" outlineLevel="1" x14ac:dyDescent="0.25">
      <c r="A40" s="20" t="str">
        <f>[1]B760M!A463</f>
        <v>AQ-CONF-PRO-000128</v>
      </c>
      <c r="B40" s="21" t="str">
        <f>[1]B760M!D463</f>
        <v>ПЭВМ Aquarius Pro K760 (АМПР.466539.823) (MNT/PSU400/i5_14400/DDR5_16G/SSD512_M2_NVMe/WiFi/BT/KM)</v>
      </c>
      <c r="C40" s="22">
        <v>1264.7940199999998</v>
      </c>
      <c r="D40" s="23"/>
      <c r="E40" s="23"/>
      <c r="F40" s="23"/>
    </row>
    <row r="41" spans="1:6" outlineLevel="1" x14ac:dyDescent="0.25">
      <c r="A41" s="20" t="str">
        <f>[1]B760M!A517</f>
        <v>AQ-CONF-PRO-000129</v>
      </c>
      <c r="B41" s="21" t="str">
        <f>[1]B760M!D517</f>
        <v>ПЭВМ Aquarius Pro K760 (АМПР.466539.823) (MNT/PSU400/i7_14700/DDR5_16G/SSD512_M2_NVMe/WiFi/BT/KM)</v>
      </c>
      <c r="C41" s="22">
        <v>1866.7459169542556</v>
      </c>
      <c r="D41" s="23"/>
      <c r="E41" s="23"/>
      <c r="F41" s="23"/>
    </row>
    <row r="42" spans="1:6" s="19" customFormat="1" ht="18.75" outlineLevel="1" x14ac:dyDescent="0.25">
      <c r="A42" s="16" t="s">
        <v>13</v>
      </c>
      <c r="B42" s="17"/>
      <c r="C42" s="18"/>
      <c r="D42" s="18"/>
      <c r="E42" s="18"/>
      <c r="F42" s="18"/>
    </row>
    <row r="43" spans="1:6" outlineLevel="1" x14ac:dyDescent="0.25">
      <c r="A43" s="20" t="str">
        <f>[1]B760M!A536</f>
        <v>AQ-CONF-PRO-000131</v>
      </c>
      <c r="B43" s="21" t="str">
        <f>[1]B760M!D536</f>
        <v>ПЭВМ Aquarius Pro K790 (АМПР.466539.829) (MDT/PSU400/i5_12400/DDR5_8G/SSD256_M2_NVMe/WiFi/BT/KM)</v>
      </c>
      <c r="C43" s="22">
        <v>978.1340037620123</v>
      </c>
      <c r="D43" s="23"/>
      <c r="E43" s="23"/>
      <c r="F43" s="23"/>
    </row>
    <row r="44" spans="1:6" outlineLevel="1" x14ac:dyDescent="0.25">
      <c r="A44" s="20" t="str">
        <f>[1]B760M!A554</f>
        <v>AQ-CONF-PRO-000132</v>
      </c>
      <c r="B44" s="21" t="str">
        <f>[1]B760M!D554</f>
        <v>ПЭВМ Aquarius Pro K790 (АМПР.466539.829) (MDT/PSU400/i5_12400/DDR5_8G/SSD512_M2_NVMe/WiFi/BT/KM)</v>
      </c>
      <c r="C44" s="22">
        <v>1003.2340037620123</v>
      </c>
      <c r="D44" s="23"/>
      <c r="E44" s="23"/>
      <c r="F44" s="23"/>
    </row>
    <row r="45" spans="1:6" outlineLevel="1" x14ac:dyDescent="0.25">
      <c r="A45" s="20" t="str">
        <f>[1]B760M!A572</f>
        <v>AQ-CONF-PRO-000133</v>
      </c>
      <c r="B45" s="21" t="str">
        <f>[1]B760M!D572</f>
        <v>ПЭВМ Aquarius Pro K790 (АМПР.466539.829) (MDT/PSU400/i7_12700/DDR5_16G/SSD512_M2_NVMe/WiFi/BT/KM)</v>
      </c>
      <c r="C45" s="22">
        <v>1346.6020037620124</v>
      </c>
      <c r="D45" s="23"/>
      <c r="E45" s="23"/>
      <c r="F45" s="23"/>
    </row>
    <row r="46" spans="1:6" outlineLevel="1" x14ac:dyDescent="0.25">
      <c r="A46" s="20" t="str">
        <f>[1]B760M!A590</f>
        <v>AQ-CONF-PRO-000135</v>
      </c>
      <c r="B46" s="21" t="str">
        <f>[1]B760M!D590</f>
        <v>ПЭВМ Aquarius Pro K790 (АМПР.466539.829) (MDT/PSU400/i5_13400/DDR5_8G/SSD256_M2_NVMe/WiFi/BT/KM)</v>
      </c>
      <c r="C46" s="22">
        <v>1104.8890037620122</v>
      </c>
      <c r="D46" s="23"/>
      <c r="E46" s="23"/>
      <c r="F46" s="23"/>
    </row>
    <row r="47" spans="1:6" outlineLevel="1" x14ac:dyDescent="0.25">
      <c r="A47" s="20" t="str">
        <f>[1]B760M!A608</f>
        <v>AQ-CONF-PRO-000136</v>
      </c>
      <c r="B47" s="21" t="str">
        <f>[1]B760M!D608</f>
        <v>ПЭВМ Aquarius Pro K790 (АМПР.466539.829) (MDT/PSU400/i5_13400/DDR5_8G/SSD512_M2_NVMe/WiFi/BT/KM)</v>
      </c>
      <c r="C47" s="22">
        <v>1129.9890037620121</v>
      </c>
      <c r="D47" s="23"/>
      <c r="E47" s="23"/>
      <c r="F47" s="23"/>
    </row>
    <row r="48" spans="1:6" outlineLevel="1" x14ac:dyDescent="0.25">
      <c r="A48" s="20" t="str">
        <f>[1]B760M!A626</f>
        <v>AQ-CONF-PRO-000137</v>
      </c>
      <c r="B48" s="21" t="str">
        <f>[1]B760M!D626</f>
        <v>ПЭВМ Aquarius Pro K790 (АМПР.466539.829) (MDT/PSU400/i7_13700/DDR5_16G/SSD512_M2_NVMe/WiFi/BT/KM)</v>
      </c>
      <c r="C48" s="22">
        <v>1677.9220037620121</v>
      </c>
      <c r="D48" s="23"/>
      <c r="E48" s="23"/>
      <c r="F48" s="23"/>
    </row>
    <row r="49" spans="1:6" outlineLevel="1" x14ac:dyDescent="0.25">
      <c r="A49" s="20" t="str">
        <f>[1]B760M!A645</f>
        <v>AQ-CONF-PRO-000139</v>
      </c>
      <c r="B49" s="21" t="str">
        <f>[1]B760M!D645</f>
        <v>ПЭВМ Aquarius Pro K790 (АМПР.466539.829) (MDT/PSU400/i5_14400/DDR5_16G/SSD512_M2_NVMe/WiFi/BT/KM)</v>
      </c>
      <c r="C49" s="22">
        <v>1268.792003762012</v>
      </c>
      <c r="D49" s="23"/>
      <c r="E49" s="23"/>
      <c r="F49" s="23"/>
    </row>
    <row r="50" spans="1:6" outlineLevel="1" x14ac:dyDescent="0.25">
      <c r="A50" s="20" t="str">
        <f>[1]B760M!A663</f>
        <v>AQ-CONF-PRO-000140</v>
      </c>
      <c r="B50" s="21" t="str">
        <f>[1]B760M!D663</f>
        <v>ПЭВМ Aquarius Pro K790 (АМПР.466539.829) (MDT/PSU400/i7_14700/DDR5_16G/SSD512_M2_NVMe/WiFi/BT/KM)</v>
      </c>
      <c r="C50" s="22">
        <v>1760.752003762012</v>
      </c>
      <c r="D50" s="23"/>
      <c r="E50" s="23"/>
      <c r="F50" s="23"/>
    </row>
    <row r="51" spans="1:6" s="19" customFormat="1" ht="18.75" outlineLevel="1" x14ac:dyDescent="0.25">
      <c r="A51" s="16" t="s">
        <v>14</v>
      </c>
      <c r="B51" s="17"/>
      <c r="C51" s="18"/>
      <c r="D51" s="18"/>
      <c r="E51" s="18"/>
      <c r="F51" s="18"/>
    </row>
    <row r="52" spans="1:6" outlineLevel="1" x14ac:dyDescent="0.25">
      <c r="A52" s="20" t="str">
        <f>[1]H610!A20</f>
        <v>AQ-CONF-PRO-00034</v>
      </c>
      <c r="B52" s="21" t="str">
        <f>[1]H610!D20</f>
        <v>ПЭВМ Aquarius Pro P30 K50 USFF1 (АМПР.466539.129) (USFF/i3_12100/DDR4_8G/SSD256_M2_NVMe/WiFi/BT/KM)</v>
      </c>
      <c r="C52" s="22">
        <v>979</v>
      </c>
      <c r="D52" s="23"/>
      <c r="E52" s="23"/>
      <c r="F52" s="23"/>
    </row>
    <row r="53" spans="1:6" outlineLevel="1" x14ac:dyDescent="0.25">
      <c r="A53" s="20" t="str">
        <f>[1]H610!A37</f>
        <v>AQ-CONF-PRO-00039</v>
      </c>
      <c r="B53" s="21" t="str">
        <f>[1]H610!D37</f>
        <v>ПЭВМ Aquarius Pro P30 K50 USFF1 (АМПР.466539.129) (USFF/i5_12400/DDR4_8G/SSD256_M2_NVMe/WiFi/BT/KM)</v>
      </c>
      <c r="C53" s="22">
        <v>1081</v>
      </c>
      <c r="D53" s="23"/>
      <c r="E53" s="23"/>
      <c r="F53" s="23"/>
    </row>
    <row r="54" spans="1:6" outlineLevel="1" x14ac:dyDescent="0.25">
      <c r="A54" s="20" t="str">
        <f>[1]H610!A53</f>
        <v>AQ-CONF-PRO-00037</v>
      </c>
      <c r="B54" s="21" t="str">
        <f>[1]H610!D53</f>
        <v>ПЭВМ Aquarius Pro P30 K50 USFF1 (АМПР.466539.129) (USFF/i5_12400/DDR4_8G/SSD512_M2_NVMe/WiFi/BT/KM)</v>
      </c>
      <c r="C54" s="22">
        <v>1106</v>
      </c>
      <c r="D54" s="23"/>
      <c r="E54" s="23"/>
      <c r="F54" s="23"/>
    </row>
    <row r="55" spans="1:6" outlineLevel="1" x14ac:dyDescent="0.25">
      <c r="A55" s="20" t="str">
        <f>[1]H610!A70</f>
        <v>AQ-CONF-PRO-00040</v>
      </c>
      <c r="B55" s="21" t="str">
        <f>[1]H610!D70</f>
        <v>ПЭВМ Aquarius Pro P30 K50 USFF1 (АМПР.466539.129) (USFF/i7_12700/DDR4_16G/SSD512_M2_NVMe/WiFi/BT/KM)</v>
      </c>
      <c r="C55" s="22">
        <v>1458</v>
      </c>
      <c r="D55" s="23"/>
      <c r="E55" s="23"/>
      <c r="F55" s="23"/>
    </row>
    <row r="56" spans="1:6" outlineLevel="1" x14ac:dyDescent="0.25">
      <c r="A56" s="20" t="str">
        <f>[1]H610!A87</f>
        <v>AQ-CONF-PRO-000141</v>
      </c>
      <c r="B56" s="21" t="str">
        <f>[1]H610!D87</f>
        <v>ПЭВМ Aquarius Pro P30 K50 USFF1 (АМПР.466539.129) (USFF/i3_13100/DDR4_8G/SSD256_M2_NVMe/WiFi/BT/KM)</v>
      </c>
      <c r="C56" s="22">
        <v>1064</v>
      </c>
      <c r="D56" s="23"/>
      <c r="E56" s="23"/>
      <c r="F56" s="23"/>
    </row>
    <row r="57" spans="1:6" outlineLevel="1" x14ac:dyDescent="0.25">
      <c r="A57" s="20" t="str">
        <f>[1]H610!A104</f>
        <v>AQ-CONF-PRO-000146</v>
      </c>
      <c r="B57" s="21" t="str">
        <f>[1]H610!D104</f>
        <v>ПЭВМ Aquarius Pro P30 K50 USFF1 (АМПР.466539.129) (USFF/i5_13400/DDR4_8G/SSD256_M2_NVMe/WiFi/BT/KM)</v>
      </c>
      <c r="C57" s="22">
        <v>1207</v>
      </c>
      <c r="D57" s="23"/>
      <c r="E57" s="23"/>
      <c r="F57" s="23"/>
    </row>
    <row r="58" spans="1:6" outlineLevel="1" x14ac:dyDescent="0.25">
      <c r="A58" s="20" t="str">
        <f>[1]H610!A121</f>
        <v>AQ-CONF-PRO-00074</v>
      </c>
      <c r="B58" s="21" t="str">
        <f>[1]H610!D121</f>
        <v>ПЭВМ Aquarius Pro P30 K50 USFF1 (АМПР.466539.129) (USFF/i5_13400/DDR4_8G/SSD512_M2_NVMe/WiFi/BT/KM)</v>
      </c>
      <c r="C58" s="22">
        <v>1232</v>
      </c>
      <c r="D58" s="23"/>
      <c r="E58" s="23"/>
      <c r="F58" s="23"/>
    </row>
    <row r="59" spans="1:6" outlineLevel="1" x14ac:dyDescent="0.25">
      <c r="A59" s="20" t="str">
        <f>[1]H610!A138</f>
        <v>AQ-CONF-PRO-00147</v>
      </c>
      <c r="B59" s="21" t="str">
        <f>[1]H610!D138</f>
        <v>ПЭВМ Aquarius Pro P30 K50 USFF1 (АМПР.466539.129) (USFF/i7_13700/DDR4_16G/SSD512_M2_NVMe/WiFi/BT/KM)</v>
      </c>
      <c r="C59" s="22">
        <v>1789</v>
      </c>
      <c r="D59" s="23"/>
      <c r="E59" s="23"/>
      <c r="F59" s="23"/>
    </row>
    <row r="60" spans="1:6" outlineLevel="1" x14ac:dyDescent="0.25">
      <c r="A60" s="20" t="str">
        <f>[1]H610!A155</f>
        <v>AQ-CONF-PRO-00066</v>
      </c>
      <c r="B60" s="21" t="str">
        <f>[1]H610!D155</f>
        <v>ПЭВМ Aquarius Pro P30 K50 USFF1 (АМПР.466539.129) (USFF/i3_14100/DDR4_8G/SSD512_M2_NVMe/WiFi/BT/KM)</v>
      </c>
      <c r="C60" s="22">
        <v>1092</v>
      </c>
      <c r="D60" s="23"/>
      <c r="E60" s="23"/>
      <c r="F60" s="23"/>
    </row>
    <row r="61" spans="1:6" outlineLevel="1" x14ac:dyDescent="0.25">
      <c r="A61" s="20" t="str">
        <f>[1]H610!A172</f>
        <v>AQ-CONF-PRO-00067</v>
      </c>
      <c r="B61" s="21" t="str">
        <f>[1]H610!D172</f>
        <v>ПЭВМ Aquarius Pro P30 K50 USFF1 (АМПР.466539.129) (USFF/i5_14400/DDR4_16G/SSD512_M2_NVMe/WiFi/BT/KM)</v>
      </c>
      <c r="C61" s="22">
        <v>1380</v>
      </c>
      <c r="D61" s="23"/>
      <c r="E61" s="23"/>
      <c r="F61" s="23"/>
    </row>
    <row r="62" spans="1:6" outlineLevel="1" x14ac:dyDescent="0.25">
      <c r="A62" s="20" t="str">
        <f>[1]H610!A189</f>
        <v>AQ-CONF-PRO-00081</v>
      </c>
      <c r="B62" s="21" t="str">
        <f>[1]H610!D189</f>
        <v>ПЭВМ Aquarius Pro P30 K50 USFF1 (АМПР.466539.129) (USFF/i7_14700/DDR4_16G/SSD512_M2_NVMe/WiFi/BT/KM)</v>
      </c>
      <c r="C62" s="22">
        <v>1872</v>
      </c>
      <c r="D62" s="23"/>
      <c r="E62" s="23"/>
      <c r="F62" s="23"/>
    </row>
    <row r="63" spans="1:6" s="19" customFormat="1" ht="18.75" outlineLevel="1" x14ac:dyDescent="0.25">
      <c r="A63" s="16" t="s">
        <v>15</v>
      </c>
      <c r="B63" s="17"/>
      <c r="C63" s="18"/>
      <c r="D63" s="18"/>
      <c r="E63" s="18"/>
      <c r="F63" s="18"/>
    </row>
    <row r="64" spans="1:6" outlineLevel="1" x14ac:dyDescent="0.25">
      <c r="A64" s="20" t="str">
        <f>[1]H610!A224</f>
        <v>AQ-CONF-PRO-00043</v>
      </c>
      <c r="B64" s="21" t="str">
        <f>[1]H610!D224</f>
        <v>ПЭВМ Aquarius Pro P30 K51 USFF1 (АМПР.466539.135) (USFF/i3_12100/DDR4_8G/SSD256_M2_NVMe/WiFi/BT/KM)</v>
      </c>
      <c r="C64" s="22">
        <v>924</v>
      </c>
      <c r="D64" s="23"/>
      <c r="E64" s="23"/>
      <c r="F64" s="23"/>
    </row>
    <row r="65" spans="1:6" outlineLevel="1" x14ac:dyDescent="0.25">
      <c r="A65" s="20" t="str">
        <f>[1]H610!A242</f>
        <v>AQ-CONF-PRO-00048</v>
      </c>
      <c r="B65" s="21" t="str">
        <f>[1]H610!D242</f>
        <v>ПЭВМ Aquarius Pro P30 K51 USFF1 (АМПР.466539.135) (USFF/i5_12400/DDR4_8G/SSD256_M2_NVMe/WiFi/BT/KM)</v>
      </c>
      <c r="C65" s="22">
        <v>1026</v>
      </c>
      <c r="D65" s="23"/>
      <c r="E65" s="23"/>
      <c r="F65" s="23"/>
    </row>
    <row r="66" spans="1:6" outlineLevel="1" x14ac:dyDescent="0.25">
      <c r="A66" s="20" t="str">
        <f>[1]H610!A258</f>
        <v>AQ-CONF-PRO-00046</v>
      </c>
      <c r="B66" s="21" t="str">
        <f>[1]H610!D258</f>
        <v>ПЭВМ Aquarius Pro P30 K51 USFF1 (АМПР.466539.135) (USFF/i5_12400/DDR4_8G/SSD512_M2_NVMe/WiFi/BT/KM)</v>
      </c>
      <c r="C66" s="22">
        <v>1051</v>
      </c>
      <c r="D66" s="23"/>
      <c r="E66" s="23"/>
      <c r="F66" s="23"/>
    </row>
    <row r="67" spans="1:6" outlineLevel="1" x14ac:dyDescent="0.25">
      <c r="A67" s="20" t="str">
        <f>[1]H610!A274</f>
        <v>AQ-CONF-PRO-00152</v>
      </c>
      <c r="B67" s="21" t="str">
        <f>[1]H610!D274</f>
        <v>ПЭВМ Aquarius Pro P30 K51 USFF1 (АМПР.466539.135) (USFF/i5_12400/DDR4_16G/SSD512_M2_NVMe/WiFi/BT/KM)</v>
      </c>
      <c r="C67" s="22">
        <v>1103</v>
      </c>
      <c r="D67" s="23"/>
      <c r="E67" s="23"/>
      <c r="F67" s="23"/>
    </row>
    <row r="68" spans="1:6" outlineLevel="1" x14ac:dyDescent="0.25">
      <c r="A68" s="20" t="str">
        <f>[1]H610!A291</f>
        <v>AQ-CONF-PRO-00049</v>
      </c>
      <c r="B68" s="21" t="str">
        <f>[1]H610!D291</f>
        <v>ПЭВМ Aquarius Pro P30 K51 USFF1 (АМПР.466539.135) (USFF/i7_12700/DDR4_16G/SSD512_M2_NVMe/WiFi/BT/KM)</v>
      </c>
      <c r="C68" s="22">
        <v>1403</v>
      </c>
      <c r="D68" s="23"/>
      <c r="E68" s="23"/>
      <c r="F68" s="23"/>
    </row>
    <row r="69" spans="1:6" outlineLevel="1" x14ac:dyDescent="0.25">
      <c r="A69" s="20" t="str">
        <f>[1]H610!A309</f>
        <v>AQ-CONF-PRO-000142</v>
      </c>
      <c r="B69" s="21" t="str">
        <f>[1]H610!D309</f>
        <v>ПЭВМ Aquarius Pro P30 K51 USFF1 (АМПР.466539.135) (USFF/i3_13100/DDR4_8G/SSD256_M2_NVMe/WiFi/BT/KM)</v>
      </c>
      <c r="C69" s="22">
        <v>1010</v>
      </c>
      <c r="D69" s="23"/>
      <c r="E69" s="23"/>
      <c r="F69" s="23"/>
    </row>
    <row r="70" spans="1:6" outlineLevel="1" x14ac:dyDescent="0.25">
      <c r="A70" s="20" t="str">
        <f>[1]H610!A327</f>
        <v>AQ-CONF-PRO-000143</v>
      </c>
      <c r="B70" s="21" t="str">
        <f>[1]H610!D327</f>
        <v>ПЭВМ Aquarius Pro P30 K51 USFF1 (АМПР.466539.135) (USFF/i5_13400/DDR4_8G/SSD256_M2_NVMe/WiFi/BT/KM)</v>
      </c>
      <c r="C70" s="22">
        <v>1153</v>
      </c>
      <c r="D70" s="23"/>
      <c r="E70" s="23"/>
      <c r="F70" s="23"/>
    </row>
    <row r="71" spans="1:6" outlineLevel="1" x14ac:dyDescent="0.25">
      <c r="A71" s="20" t="str">
        <f>[1]H610!A343</f>
        <v>AQ-CONF-PRO-00079</v>
      </c>
      <c r="B71" s="21" t="str">
        <f>[1]H610!D343</f>
        <v>ПЭВМ Aquarius Pro P30 K51 USFF1 (АМПР.466539.135) (USFF/i5_13400/DDR4_8G/SSD512_M2_NVMe/WiFi/BT/KM)</v>
      </c>
      <c r="C71" s="22">
        <v>1178</v>
      </c>
      <c r="D71" s="23"/>
      <c r="E71" s="23"/>
      <c r="F71" s="23"/>
    </row>
    <row r="72" spans="1:6" outlineLevel="1" x14ac:dyDescent="0.25">
      <c r="A72" s="20" t="str">
        <f>[1]H610!A363</f>
        <v>AQ-CONF-PRO-000144</v>
      </c>
      <c r="B72" s="21" t="str">
        <f>[1]H610!D363</f>
        <v>ПЭВМ Aquarius Pro P30 K51 USFF1 (АМПР.466539.135) (USFF/i7_13700/DDR4_16G/SSD512_M2_NVMe/WiFi/BT/KM)</v>
      </c>
      <c r="C72" s="22">
        <v>1735</v>
      </c>
      <c r="D72" s="23"/>
      <c r="E72" s="23"/>
      <c r="F72" s="23"/>
    </row>
    <row r="73" spans="1:6" outlineLevel="1" x14ac:dyDescent="0.25">
      <c r="A73" s="20" t="str">
        <f>[1]H610!A381</f>
        <v>AQ-CONF-PRO-00082</v>
      </c>
      <c r="B73" s="21" t="str">
        <f>[1]H610!D381</f>
        <v>ПЭВМ Aquarius Pro P30 K51 USFF1 (АМПР.466539.135) (USFF/i3_14100/DDR4_8G/SSD512_M2_NVMe/WiFi/BT/KM)</v>
      </c>
      <c r="C73" s="22">
        <v>1037</v>
      </c>
      <c r="D73" s="23"/>
      <c r="E73" s="23"/>
      <c r="F73" s="23"/>
    </row>
    <row r="74" spans="1:6" outlineLevel="1" x14ac:dyDescent="0.25">
      <c r="A74" s="20" t="str">
        <f>[1]H610!A399</f>
        <v>AQ-CONF-PRO-00083</v>
      </c>
      <c r="B74" s="21" t="str">
        <f>[1]H610!D399</f>
        <v>ПЭВМ Aquarius Pro P30 K51 USFF1 (АМПР.466539.135) (USFF/i5_14400/DDR4_16G/SSD512_M2_NVMe/WiFi/BT/KM)</v>
      </c>
      <c r="C74" s="22">
        <v>1326</v>
      </c>
      <c r="D74" s="23"/>
      <c r="E74" s="23"/>
      <c r="F74" s="23"/>
    </row>
    <row r="75" spans="1:6" outlineLevel="1" x14ac:dyDescent="0.25">
      <c r="A75" s="20" t="str">
        <f>[1]H610!A417</f>
        <v>AQ-CONF-PRO-000145</v>
      </c>
      <c r="B75" s="21" t="str">
        <f>[1]H610!D417</f>
        <v>ПЭВМ Aquarius Pro P30 K51 USFF1 (АМПР.466539.135) (USFF/i7_14700/DDR4_16G/SSD256_M2_NVMe/WiFi/BT/KM)</v>
      </c>
      <c r="C75" s="22">
        <v>1792</v>
      </c>
      <c r="D75" s="23"/>
      <c r="E75" s="23"/>
      <c r="F75" s="23"/>
    </row>
    <row r="76" spans="1:6" s="19" customFormat="1" ht="18.75" outlineLevel="1" x14ac:dyDescent="0.25">
      <c r="A76" s="16" t="s">
        <v>16</v>
      </c>
      <c r="B76" s="17"/>
      <c r="C76" s="18"/>
      <c r="D76" s="18"/>
      <c r="E76" s="18"/>
      <c r="F76" s="18"/>
    </row>
    <row r="77" spans="1:6" outlineLevel="1" x14ac:dyDescent="0.25">
      <c r="A77" s="20" t="str">
        <f>[1]AQH410T!A20</f>
        <v>AQ-CONF-PRO-00024</v>
      </c>
      <c r="B77" s="21" t="str">
        <f>[1]AQH410T!D20</f>
        <v>ПЭВМ Aquarius Pro P30 K43 USFF1 (АМПР.466539.427) (USFF/i3_10100/DDR4_8G/SSD256_M2_NVMe/WiFi/BT/KM)</v>
      </c>
      <c r="C77" s="22">
        <v>802</v>
      </c>
      <c r="D77" s="23"/>
      <c r="E77" s="23"/>
      <c r="F77" s="23"/>
    </row>
    <row r="78" spans="1:6" outlineLevel="1" x14ac:dyDescent="0.25">
      <c r="A78" s="20" t="str">
        <f>[1]AQH410T!A36</f>
        <v>AQ-CONF-PRO-00016</v>
      </c>
      <c r="B78" s="21" t="str">
        <f>[1]AQH410T!D36</f>
        <v>ПЭВМ Aquarius Pro P30 K43 USFF1 (АМПР.466539.427) (USFF/i5_10500/DDR4_8G/SSD512_M2_NVMe/WiFi/BT/KM)</v>
      </c>
      <c r="C78" s="22">
        <v>947</v>
      </c>
      <c r="D78" s="23"/>
      <c r="E78" s="23"/>
      <c r="F78" s="23"/>
    </row>
    <row r="79" spans="1:6" s="19" customFormat="1" ht="18.75" outlineLevel="1" x14ac:dyDescent="0.25">
      <c r="A79" s="16" t="s">
        <v>17</v>
      </c>
      <c r="B79" s="17"/>
      <c r="C79" s="18"/>
      <c r="D79" s="18"/>
      <c r="E79" s="18"/>
      <c r="F79" s="18"/>
    </row>
    <row r="80" spans="1:6" ht="37.5" customHeight="1" outlineLevel="1" x14ac:dyDescent="0.25">
      <c r="A80" s="20" t="str">
        <f>[1]AQX300M!A23</f>
        <v>AQ-CONF-PRO-00148</v>
      </c>
      <c r="B80" s="21" t="str">
        <f>[1]AQX300M!D23</f>
        <v>ПЭВМ Aquarius Pro P30 K45 mini-Tower (АМПР.466539.435) (MNT/PSU400/R5_5600G/DDR4_8G/SSD256_M2_NVMe/WiFi/BT/KM)</v>
      </c>
      <c r="C80" s="22">
        <v>858</v>
      </c>
      <c r="D80" s="23"/>
      <c r="E80" s="23"/>
      <c r="F80" s="23"/>
    </row>
    <row r="81" spans="1:6" ht="39" customHeight="1" outlineLevel="1" x14ac:dyDescent="0.25">
      <c r="A81" s="20" t="str">
        <f>[1]AQX300M!A42</f>
        <v>AQ-CONF-PRO-00149</v>
      </c>
      <c r="B81" s="21" t="str">
        <f>[1]AQX300M!D42</f>
        <v>ПЭВМ Aquarius Pro P30 K45 mini-Tower (АМПР.466539.435) (MNT/PSU400/Ath_3000G/DDR4_8G/SSD256_M2_NVMe/WiFi/BT/KM)</v>
      </c>
      <c r="C81" s="22">
        <v>618</v>
      </c>
      <c r="D81" s="23"/>
      <c r="E81" s="23"/>
      <c r="F81" s="23"/>
    </row>
    <row r="82" spans="1:6" ht="23.25" customHeight="1" outlineLevel="1" x14ac:dyDescent="0.25">
      <c r="A82" s="20" t="str">
        <f>[1]AQX300M!A102</f>
        <v>AQ-CONF-PRO-00150</v>
      </c>
      <c r="B82" s="21" t="str">
        <f>[1]AQX300M!D102</f>
        <v>ПЭВМ Aquarius Pro P30 K45 SFF1 (АМПР.466539.458) (SFF_300/R5_5600G/DDR4_8G/SSD256_M2_NVMe/WiFi/BT/KM)</v>
      </c>
      <c r="C82" s="22">
        <v>886</v>
      </c>
      <c r="D82" s="23"/>
      <c r="E82" s="23"/>
      <c r="F82" s="23"/>
    </row>
    <row r="83" spans="1:6" ht="29.25" customHeight="1" outlineLevel="1" x14ac:dyDescent="0.25">
      <c r="A83" s="20" t="str">
        <f>[1]AQX300M!A121</f>
        <v>AQ-CONF-PRO-00151</v>
      </c>
      <c r="B83" s="21" t="str">
        <f>[1]AQX300M!D121</f>
        <v>ПЭВМ Aquarius Pro P30 K45 SFF1 (АМПР.466539.458) (SFF_300/Ath_3000G/DDR4_8G/SSD256_M2_NVMe/WiFi/BT/KM)</v>
      </c>
      <c r="C83" s="22">
        <v>636</v>
      </c>
      <c r="D83" s="23"/>
      <c r="E83" s="23"/>
      <c r="F83" s="23"/>
    </row>
    <row r="84" spans="1:6" s="27" customFormat="1" outlineLevel="1" x14ac:dyDescent="0.25">
      <c r="A84" s="24" t="s">
        <v>18</v>
      </c>
      <c r="B84" s="25"/>
      <c r="C84" s="26"/>
      <c r="D84" s="26"/>
      <c r="E84" s="26"/>
      <c r="F84" s="26"/>
    </row>
    <row r="85" spans="1:6" outlineLevel="1" x14ac:dyDescent="0.25">
      <c r="A85" s="20" t="str">
        <f>'[1]246DF'!A19</f>
        <v>AQ-CONF-PRO-000150</v>
      </c>
      <c r="B85" s="21" t="str">
        <f>'[1]246DF'!D19</f>
        <v>Рабочая станция Aquarius Pro G40 S90 (АМПР.466539.416) (MDT/PSU750/E-2244G/DDR4_8G/SSD_256GB/KM)</v>
      </c>
      <c r="C85" s="22">
        <v>2602</v>
      </c>
      <c r="D85" s="23"/>
      <c r="E85" s="23"/>
      <c r="F85" s="23"/>
    </row>
    <row r="86" spans="1:6" s="27" customFormat="1" ht="36" customHeight="1" x14ac:dyDescent="0.25">
      <c r="A86" s="26" t="s">
        <v>1</v>
      </c>
      <c r="B86" s="25"/>
      <c r="C86" s="26"/>
      <c r="D86" s="26"/>
      <c r="E86" s="26"/>
      <c r="F86" s="26"/>
    </row>
    <row r="87" spans="1:6" s="19" customFormat="1" ht="18.75" outlineLevel="1" x14ac:dyDescent="0.25">
      <c r="A87" s="16" t="s">
        <v>19</v>
      </c>
      <c r="B87" s="17"/>
      <c r="C87" s="18"/>
      <c r="D87" s="18"/>
      <c r="E87" s="18"/>
      <c r="F87" s="18"/>
    </row>
    <row r="88" spans="1:6" outlineLevel="1" x14ac:dyDescent="0.25">
      <c r="A88" s="20" t="str">
        <f>[1]B760M!A679</f>
        <v>AQ-CONF-MNB-00068</v>
      </c>
      <c r="B88" s="21" t="str">
        <f>[1]B760M!D679</f>
        <v>Моноблок Aquarius Mnb Pro T424 (АМПР.466539.831) (23.8"/i3_12100/DDR5_8G/SSD256_M2_NVMe/WiFi/BT/KM)</v>
      </c>
      <c r="C88" s="22">
        <v>1060</v>
      </c>
      <c r="D88" s="23"/>
      <c r="E88" s="23"/>
      <c r="F88" s="23"/>
    </row>
    <row r="89" spans="1:6" outlineLevel="1" x14ac:dyDescent="0.25">
      <c r="A89" s="20" t="str">
        <f>[1]B760M!A694</f>
        <v>AQ-CONF-MNB-00079</v>
      </c>
      <c r="B89" s="21" t="str">
        <f>[1]B760M!D694</f>
        <v>Моноблок Aquarius Mnb Pro T424 (АМПР.466539.831) (23.8"/i5_12400/DDR5_8G/SSD256_M2_NVMe/WiFi/BT/KM)</v>
      </c>
      <c r="C89" s="22">
        <v>1162</v>
      </c>
      <c r="D89" s="23"/>
      <c r="E89" s="23"/>
      <c r="F89" s="23"/>
    </row>
    <row r="90" spans="1:6" outlineLevel="1" x14ac:dyDescent="0.25">
      <c r="A90" s="20" t="str">
        <f>[1]B760M!A709</f>
        <v>AQ-CONF-MNB-00070</v>
      </c>
      <c r="B90" s="21" t="str">
        <f>[1]B760M!D709</f>
        <v>Моноблок Aquarius Mnb Pro T424 (АМПР.466539.831) (23.8"/i5_12400/DDR5_8G/SSD512_M2_NVMe/WiFi/BT/KM)</v>
      </c>
      <c r="C90" s="22">
        <v>1187</v>
      </c>
      <c r="D90" s="23"/>
      <c r="E90" s="23"/>
      <c r="F90" s="23"/>
    </row>
    <row r="91" spans="1:6" outlineLevel="1" x14ac:dyDescent="0.25">
      <c r="A91" s="20" t="str">
        <f>[1]B760M!A724</f>
        <v>AQ-CONF-MNB-00071</v>
      </c>
      <c r="B91" s="21" t="str">
        <f>[1]B760M!D724</f>
        <v>Моноблок Aquarius Mnb Pro T424 (АМПР.466539.831) (23.8"/i7_12700/DDR5_16G/SSD512_M2_NVMe/WiFi/BT/KM)</v>
      </c>
      <c r="C91" s="22">
        <v>1530</v>
      </c>
      <c r="D91" s="23"/>
      <c r="E91" s="23"/>
      <c r="F91" s="23"/>
    </row>
    <row r="92" spans="1:6" outlineLevel="1" x14ac:dyDescent="0.25">
      <c r="A92" s="20" t="str">
        <f>[1]B760M!A739</f>
        <v>AQ-CONF-MNB-00072</v>
      </c>
      <c r="B92" s="21" t="str">
        <f>[1]B760M!D739</f>
        <v>Моноблок Aquarius Mnb Pro T424 (АМПР.466539.831) (23.8"/i3_13100/DDR5_8G/SSD256_M2_NVMe/WiFi/BT/KM)</v>
      </c>
      <c r="C92" s="22">
        <v>1145</v>
      </c>
      <c r="D92" s="23"/>
      <c r="E92" s="23"/>
      <c r="F92" s="23"/>
    </row>
    <row r="93" spans="1:6" outlineLevel="1" x14ac:dyDescent="0.25">
      <c r="A93" s="20" t="str">
        <f>[1]B760M!A754</f>
        <v>AQ-CONF-MNB-00073</v>
      </c>
      <c r="B93" s="21" t="str">
        <f>[1]B760M!D754</f>
        <v>Моноблок Aquarius Mnb Pro T424 (АМПР.466539.831) (23.8"/i5_13400/DDR5_8G/SSD256_M2_NVMe/WiFi/BT/KM)</v>
      </c>
      <c r="C93" s="22">
        <v>1288</v>
      </c>
      <c r="D93" s="23"/>
      <c r="E93" s="23"/>
      <c r="F93" s="23"/>
    </row>
    <row r="94" spans="1:6" outlineLevel="1" x14ac:dyDescent="0.25">
      <c r="A94" s="20" t="str">
        <f>[1]B760M!A769</f>
        <v>AQ-CONF-MNB-00074</v>
      </c>
      <c r="B94" s="21" t="str">
        <f>[1]B760M!D769</f>
        <v>Моноблок Aquarius Mnb Pro T424 (АМПР.466539.831) (23.8"/i5_13400/DDR5_8G/SSD512_M2_NVMe/WiFi/BT/KM)</v>
      </c>
      <c r="C94" s="22">
        <v>1313</v>
      </c>
      <c r="D94" s="23"/>
      <c r="E94" s="23"/>
      <c r="F94" s="23"/>
    </row>
    <row r="95" spans="1:6" outlineLevel="1" x14ac:dyDescent="0.25">
      <c r="A95" s="20" t="str">
        <f>[1]B760M!A784</f>
        <v>AQ-CONF-MNB-00075</v>
      </c>
      <c r="B95" s="21" t="str">
        <f>[1]B760M!D784</f>
        <v>Моноблок Aquarius Mnb Pro T424 (АМПР.466539.831) (23.8"/i7_13700/DDR5_16G/SSD512_M2_NVMe/WiFi/BT/KM)</v>
      </c>
      <c r="C95" s="22">
        <v>1861</v>
      </c>
      <c r="D95" s="23"/>
      <c r="E95" s="23"/>
      <c r="F95" s="23"/>
    </row>
    <row r="96" spans="1:6" outlineLevel="1" x14ac:dyDescent="0.25">
      <c r="A96" s="20" t="str">
        <f>[1]B760M!A799</f>
        <v>AQ-CONF-MNB-00076</v>
      </c>
      <c r="B96" s="21" t="str">
        <f>[1]B760M!D799</f>
        <v>Моноблок Aquarius Mnb Pro T424 (АМПР.466539.831) (23.8"/i3_14100/DDR5_8G/SSD512_M2_NVMe/WiFi/BT/KM)</v>
      </c>
      <c r="C96" s="22">
        <v>1173</v>
      </c>
      <c r="D96" s="23"/>
      <c r="E96" s="23"/>
      <c r="F96" s="23"/>
    </row>
    <row r="97" spans="1:6" outlineLevel="1" x14ac:dyDescent="0.25">
      <c r="A97" s="20" t="str">
        <f>[1]B760M!A814</f>
        <v>AQ-CONF-MNB-00077</v>
      </c>
      <c r="B97" s="21" t="str">
        <f>[1]B760M!D814</f>
        <v>Моноблок Aquarius Mnb Pro T424 (АМПР.466539.831) (23.8"/i5_14400/DDR5_16G/SSD512_M2_NVMe/WiFi/BT/KM)</v>
      </c>
      <c r="C97" s="22">
        <v>1452</v>
      </c>
      <c r="D97" s="23"/>
      <c r="E97" s="23"/>
      <c r="F97" s="23"/>
    </row>
    <row r="98" spans="1:6" outlineLevel="1" x14ac:dyDescent="0.25">
      <c r="A98" s="20" t="str">
        <f>[1]B760M!A829</f>
        <v>AQ-CONF-MNB-00078</v>
      </c>
      <c r="B98" s="21" t="str">
        <f>[1]B760M!D829</f>
        <v>Моноблок Aquarius Mnb Pro T424 (АМПР.466539.831) (23.8"/i7_14700/DDR5_16G/SSD512_M2_NVMe/WiFi/BT/KM)</v>
      </c>
      <c r="C98" s="22">
        <v>1944</v>
      </c>
      <c r="D98" s="23"/>
      <c r="E98" s="23"/>
      <c r="F98" s="23"/>
    </row>
    <row r="99" spans="1:6" s="19" customFormat="1" ht="18.75" outlineLevel="1" x14ac:dyDescent="0.25">
      <c r="A99" s="16" t="s">
        <v>20</v>
      </c>
      <c r="B99" s="17"/>
      <c r="C99" s="18"/>
      <c r="D99" s="18"/>
      <c r="E99" s="18"/>
      <c r="F99" s="18"/>
    </row>
    <row r="100" spans="1:6" outlineLevel="1" x14ac:dyDescent="0.25">
      <c r="A100" s="20" t="str">
        <f>[1]B760M!A846</f>
        <v>AQ-CONF-MNB-00069</v>
      </c>
      <c r="B100" s="21" t="str">
        <f>[1]B760M!D846</f>
        <v>Моноблок Aquarius Mnb Pro T427 (АМПР.466539.833) (27"/i3_12100/DDR5_8G/SSD256_M2_NVMe/WiFi/BT/KM)</v>
      </c>
      <c r="C100" s="22">
        <v>1684</v>
      </c>
      <c r="D100" s="23"/>
      <c r="E100" s="23"/>
      <c r="F100" s="23"/>
    </row>
    <row r="101" spans="1:6" outlineLevel="1" x14ac:dyDescent="0.25">
      <c r="A101" s="20" t="str">
        <f>[1]B760M!A861</f>
        <v>AQ-CONF-MNB-00080</v>
      </c>
      <c r="B101" s="21" t="str">
        <f>[1]B760M!D861</f>
        <v>Моноблок Aquarius Mnb Pro T427 (АМПР.466539.833) (27"/i5_12400/DDR5_8G/SSD256_M2_NVMe/WiFi/BT/KM)</v>
      </c>
      <c r="C101" s="22">
        <v>1786</v>
      </c>
      <c r="D101" s="23"/>
      <c r="E101" s="23"/>
      <c r="F101" s="23"/>
    </row>
    <row r="102" spans="1:6" outlineLevel="1" x14ac:dyDescent="0.25">
      <c r="A102" s="20" t="str">
        <f>[1]B760M!A876</f>
        <v>AQ-CONF-MNB-00081</v>
      </c>
      <c r="B102" s="21" t="str">
        <f>[1]B760M!D876</f>
        <v>Моноблок Aquarius Mnb Pro T427 (АМПР.466539.833) (27"/i5_12400/DDR5_8G/SSD512_M2_NVMe/WiFi/BT/KM)</v>
      </c>
      <c r="C102" s="22">
        <v>1811</v>
      </c>
      <c r="D102" s="23"/>
      <c r="E102" s="23"/>
      <c r="F102" s="23"/>
    </row>
    <row r="103" spans="1:6" outlineLevel="1" x14ac:dyDescent="0.25">
      <c r="A103" s="20" t="str">
        <f>[1]B760M!A891</f>
        <v>AQ-CONF-MNB-00082</v>
      </c>
      <c r="B103" s="21" t="str">
        <f>[1]B760M!D891</f>
        <v>Моноблок Aquarius Mnb Pro T427 (АМПР.466539.833) (27"/i7_12700/DDR5_16G/SSD512_M2_NVMe/WiFi/BT/KM)</v>
      </c>
      <c r="C103" s="22">
        <v>2154</v>
      </c>
      <c r="D103" s="23"/>
      <c r="E103" s="23"/>
      <c r="F103" s="23"/>
    </row>
    <row r="104" spans="1:6" outlineLevel="1" x14ac:dyDescent="0.25">
      <c r="A104" s="20" t="str">
        <f>[1]B760M!A906</f>
        <v>AQ-CONF-MNB-00083</v>
      </c>
      <c r="B104" s="28" t="str">
        <f>[1]B760M!D906</f>
        <v>Моноблок Aquarius Mnb Pro T427 (АМПР.466539.833) (27"/i3_13100/DDR5_8G/SSD256_M2_NVMe/WiFi/BT/KM)</v>
      </c>
      <c r="C104" s="22">
        <v>1770</v>
      </c>
      <c r="D104" s="23"/>
      <c r="E104" s="23"/>
      <c r="F104" s="23"/>
    </row>
    <row r="105" spans="1:6" outlineLevel="1" x14ac:dyDescent="0.25">
      <c r="A105" s="20" t="str">
        <f>[1]B760M!A921</f>
        <v>AQ-CONF-MNB-00084</v>
      </c>
      <c r="B105" s="28" t="str">
        <f>[1]B760M!D921</f>
        <v>Моноблок Aquarius Mnb Pro T427 (АМПР.466539.833) (27"/i5_13400/DDR5_8G/SSD256_M2_NVMe/WiFi/BT/KM)</v>
      </c>
      <c r="C105" s="22">
        <v>1913</v>
      </c>
      <c r="D105" s="23"/>
      <c r="E105" s="23"/>
      <c r="F105" s="23"/>
    </row>
    <row r="106" spans="1:6" outlineLevel="1" x14ac:dyDescent="0.25">
      <c r="A106" s="20" t="str">
        <f>[1]B760M!A936</f>
        <v>AQ-CONF-MNB-00085</v>
      </c>
      <c r="B106" s="28" t="str">
        <f>[1]B760M!D936</f>
        <v>Моноблок Aquarius Mnb Pro T427 (АМПР.466539.833) (27"/i5_13400/DDR5_8G/SSD512_M2_NVMe/WiFi/BT/KM)</v>
      </c>
      <c r="C106" s="22">
        <v>1938</v>
      </c>
      <c r="D106" s="23"/>
      <c r="E106" s="23"/>
      <c r="F106" s="23"/>
    </row>
    <row r="107" spans="1:6" outlineLevel="1" x14ac:dyDescent="0.25">
      <c r="A107" s="20" t="str">
        <f>[1]B760M!A951</f>
        <v>AQ-CONF-MNB-00086</v>
      </c>
      <c r="B107" s="28" t="str">
        <f>[1]B760M!D951</f>
        <v>Моноблок Aquarius Mnb Pro T427 (АМПР.466539.833) (27"/i7_13700/DDR5_16G/SSD512_M2_NVMe/WiFi/BT/KM)</v>
      </c>
      <c r="C107" s="22">
        <v>2486</v>
      </c>
      <c r="D107" s="23"/>
      <c r="E107" s="23"/>
      <c r="F107" s="23"/>
    </row>
    <row r="108" spans="1:6" outlineLevel="1" x14ac:dyDescent="0.25">
      <c r="A108" s="20" t="str">
        <f>[1]B760M!A966</f>
        <v>AQ-CONF-MNB-00087</v>
      </c>
      <c r="B108" s="21" t="str">
        <f>[1]B760M!D966</f>
        <v>Моноблок Aquarius Mnb Pro T427 (АМПР.466539.833) (27"/i3_14100/DDR5_8G/SSD512_M2_NVMe/WiFi/BT/KM)</v>
      </c>
      <c r="C108" s="22">
        <v>1797</v>
      </c>
      <c r="D108" s="23"/>
      <c r="E108" s="23"/>
      <c r="F108" s="23"/>
    </row>
    <row r="109" spans="1:6" outlineLevel="1" x14ac:dyDescent="0.25">
      <c r="A109" s="20" t="str">
        <f>[1]B760M!A981</f>
        <v>AQ-CONF-MNB-00088</v>
      </c>
      <c r="B109" s="21" t="str">
        <f>[1]B760M!D981</f>
        <v>Моноблок Aquarius Mnb Pro T427 (АМПР.466539.833) (27"/i5_14400/DDR5_16G/SSD512_M2_NVMe/WiFi/BT/KM)</v>
      </c>
      <c r="C109" s="22">
        <v>2076</v>
      </c>
      <c r="D109" s="23"/>
      <c r="E109" s="23"/>
      <c r="F109" s="23"/>
    </row>
    <row r="110" spans="1:6" outlineLevel="1" x14ac:dyDescent="0.25">
      <c r="A110" s="20" t="str">
        <f>[1]B760M!A996</f>
        <v>AQ-CONF-MNB-00089</v>
      </c>
      <c r="B110" s="21" t="str">
        <f>[1]B760M!D996</f>
        <v>Моноблок Aquarius Mnb Pro T427 (АМПР.466539.833) (27"/i7_14700/DDR5_16G/SSD512_M2_NVMe/WiFi/BT/KM)</v>
      </c>
      <c r="C110" s="22">
        <v>2568</v>
      </c>
      <c r="D110" s="23"/>
      <c r="E110" s="23"/>
      <c r="F110" s="23"/>
    </row>
    <row r="111" spans="1:6" s="19" customFormat="1" ht="18.75" outlineLevel="1" x14ac:dyDescent="0.25">
      <c r="A111" s="16" t="s">
        <v>21</v>
      </c>
      <c r="B111" s="17"/>
      <c r="C111" s="18"/>
      <c r="D111" s="18"/>
      <c r="E111" s="18"/>
      <c r="F111" s="18"/>
    </row>
    <row r="112" spans="1:6" outlineLevel="1" x14ac:dyDescent="0.25">
      <c r="A112" s="20" t="str">
        <f>[1]H610!A432</f>
        <v>AQ-CONF-MNB-00020</v>
      </c>
      <c r="B112" s="21" t="str">
        <f>[1]H610!D432</f>
        <v>Моноблок Aquarius Mnb Pro T924 (АМПР.466539.438) (23,8"/i3_12100/DDR4_8G/SSD256_M2_NVMe/WiFi/BT/KM)</v>
      </c>
      <c r="C112" s="22">
        <v>1591</v>
      </c>
      <c r="D112" s="23"/>
      <c r="E112" s="23"/>
      <c r="F112" s="23"/>
    </row>
    <row r="113" spans="1:6" outlineLevel="1" x14ac:dyDescent="0.25">
      <c r="A113" s="20" t="str">
        <f>[1]H610!A448</f>
        <v>AQ-CONF-MNB-00023</v>
      </c>
      <c r="B113" s="21" t="str">
        <f>[1]H610!D448</f>
        <v>Моноблок Aquarius Mnb Pro T924 (АМПР.466539.438) (23,8"/i5_12400/DDR4_8G/SSD256_M2_NVMe/WiFi/BT/KM)</v>
      </c>
      <c r="C113" s="22">
        <v>1692</v>
      </c>
      <c r="D113" s="23"/>
      <c r="E113" s="23"/>
      <c r="F113" s="23"/>
    </row>
    <row r="114" spans="1:6" outlineLevel="1" x14ac:dyDescent="0.25">
      <c r="A114" s="20" t="str">
        <f>[1]H610!A462</f>
        <v>AQ-CONF-MNB-00045</v>
      </c>
      <c r="B114" s="21" t="str">
        <f>[1]H610!D462</f>
        <v>Моноблок Aquarius Mnb Pro T924 (АМПР.466539.438) (23,8"/i5_12400/DDR4_8G/SSD512_M2_NVMe/WiFi/BT/KM)</v>
      </c>
      <c r="C114" s="22">
        <v>1734</v>
      </c>
      <c r="D114" s="23"/>
      <c r="E114" s="23"/>
      <c r="F114" s="23"/>
    </row>
    <row r="115" spans="1:6" outlineLevel="1" x14ac:dyDescent="0.25">
      <c r="A115" s="20" t="str">
        <f>[1]H610!A480</f>
        <v>AQ-CONF-MNB-00048</v>
      </c>
      <c r="B115" s="21" t="str">
        <f>[1]H610!D480</f>
        <v>Моноблок Aquarius Mnb Pro T924 (АМПР.466539.438) (23,8"/i7_12700/DDR4_16G/SSD512_M2_NVMe/WiFi/BT/KM)</v>
      </c>
      <c r="C115" s="22">
        <v>2143</v>
      </c>
      <c r="D115" s="23"/>
      <c r="E115" s="23"/>
      <c r="F115" s="23"/>
    </row>
    <row r="116" spans="1:6" outlineLevel="1" x14ac:dyDescent="0.25">
      <c r="A116" s="20" t="str">
        <f>[1]H610!A496</f>
        <v>AQ-CONF-MNB-00100</v>
      </c>
      <c r="B116" s="21" t="str">
        <f>[1]H610!D496</f>
        <v>Моноблок Aquarius Mnb Pro T924 (АМПР.466539.438) (23,8"/i3_13100/DDR4_8G/SSD256_M2_NVMe/WiFi/BT/KM)</v>
      </c>
      <c r="C116" s="22">
        <v>1676</v>
      </c>
      <c r="D116" s="23"/>
      <c r="E116" s="23"/>
      <c r="F116" s="23"/>
    </row>
    <row r="117" spans="1:6" outlineLevel="1" x14ac:dyDescent="0.25">
      <c r="A117" s="20" t="str">
        <f>[1]H610!A512</f>
        <v>AQ-CONF-MNB-00101</v>
      </c>
      <c r="B117" s="21" t="str">
        <f>[1]H610!D512</f>
        <v>Моноблок Aquarius Mnb Pro T924 (АМПР.466539.438) (23,8"/i5_13400/DDR4_8G/SSD256_M2_NVMe/WiFi/BT/KM)</v>
      </c>
      <c r="C117" s="22">
        <v>1946</v>
      </c>
      <c r="D117" s="23"/>
      <c r="E117" s="23"/>
      <c r="F117" s="23"/>
    </row>
    <row r="118" spans="1:6" outlineLevel="1" x14ac:dyDescent="0.25">
      <c r="A118" s="20" t="str">
        <f>[1]H610!A526</f>
        <v>AQ-CONF-MNB-00050</v>
      </c>
      <c r="B118" s="21" t="str">
        <f>[1]H610!D526</f>
        <v>Моноблок Aquarius Mnb Pro T924 (АМПР.466539.438) (23,8"/i5_13400/DDR4_8G/SSD512_M2_NVMe/WiFi/BT/KM)</v>
      </c>
      <c r="C118" s="22">
        <v>1971</v>
      </c>
      <c r="D118" s="23"/>
      <c r="E118" s="23"/>
      <c r="F118" s="23"/>
    </row>
    <row r="119" spans="1:6" outlineLevel="1" x14ac:dyDescent="0.25">
      <c r="A119" s="20" t="str">
        <f>[1]H610!A544</f>
        <v>AQ-CONF-MNB-00102</v>
      </c>
      <c r="B119" s="21" t="str">
        <f>[1]H610!D544</f>
        <v>Моноблок Aquarius Mnb Pro T924 (АМПР.466539.438) (23,8"/i7_13700/DDR4_16G/SSD512_M2_NVMe/WiFi/BT/KM)</v>
      </c>
      <c r="C119" s="22">
        <v>2517</v>
      </c>
      <c r="D119" s="23"/>
      <c r="E119" s="23"/>
      <c r="F119" s="23"/>
    </row>
    <row r="120" spans="1:6" outlineLevel="1" x14ac:dyDescent="0.25">
      <c r="A120" s="20" t="str">
        <f>[1]H610!A560</f>
        <v>AQ-CONF-MNB-00053</v>
      </c>
      <c r="B120" s="21" t="str">
        <f>[1]H610!D560</f>
        <v>Моноблок Aquarius Mnb Pro T924 (АМПР.466539.438) (23,8"/i3_14100/DDR4_8G/SSD512_M2_NVMe/WiFi/BT/KM)</v>
      </c>
      <c r="C120" s="22">
        <v>1803</v>
      </c>
      <c r="D120" s="23"/>
      <c r="E120" s="23"/>
      <c r="F120" s="23"/>
    </row>
    <row r="121" spans="1:6" outlineLevel="1" x14ac:dyDescent="0.25">
      <c r="A121" s="20" t="str">
        <f>[1]H610!A576</f>
        <v>AQ-CONF-MNB-00055</v>
      </c>
      <c r="B121" s="21" t="str">
        <f>[1]H610!D576</f>
        <v>Моноблок Aquarius Mnb Pro T924 (АМПР.466539.438) (23,8"/i5_14400/DDR4_16G/SSD512_M2_NVMe/WiFi/BT/KM)</v>
      </c>
      <c r="C121" s="22">
        <v>2053</v>
      </c>
      <c r="D121" s="23"/>
      <c r="E121" s="23"/>
      <c r="F121" s="23"/>
    </row>
    <row r="122" spans="1:6" outlineLevel="1" x14ac:dyDescent="0.25">
      <c r="A122" s="20" t="str">
        <f>[1]H610!A592</f>
        <v>AQ-CONF-MNB-00103</v>
      </c>
      <c r="B122" s="21" t="str">
        <f>[1]H610!D592</f>
        <v>Моноблок Aquarius Mnb Pro T924 (АМПР.466539.438) (23,8"/i7_14700/DDR4_16G/SSD512_M2_NVMe/WiFi/BT/KM)</v>
      </c>
      <c r="C122" s="22">
        <v>2494</v>
      </c>
      <c r="D122" s="23"/>
      <c r="E122" s="23"/>
      <c r="F122" s="23"/>
    </row>
    <row r="123" spans="1:6" s="19" customFormat="1" ht="18.75" outlineLevel="1" x14ac:dyDescent="0.25">
      <c r="A123" s="16" t="s">
        <v>22</v>
      </c>
      <c r="B123" s="17"/>
      <c r="C123" s="18"/>
      <c r="D123" s="18"/>
      <c r="E123" s="18"/>
      <c r="F123" s="18"/>
    </row>
    <row r="124" spans="1:6" outlineLevel="1" x14ac:dyDescent="0.25">
      <c r="A124" s="20" t="str">
        <f>[1]H610!A608</f>
        <v>AQ-CONF-MNB-00029</v>
      </c>
      <c r="B124" s="21" t="str">
        <f>[1]H610!D608</f>
        <v>Моноблок Aquarius Mnb Pro T927 (АМПР.466539.305) (27"/i3_12100/DDR4_8G/SSD256_M2_NVMe/WiFi/BT/KM)</v>
      </c>
      <c r="C124" s="22">
        <v>1722</v>
      </c>
      <c r="D124" s="23"/>
      <c r="E124" s="23"/>
      <c r="F124" s="23"/>
    </row>
    <row r="125" spans="1:6" outlineLevel="1" x14ac:dyDescent="0.25">
      <c r="A125" s="20" t="str">
        <f>[1]H610!A624</f>
        <v>AQ-CONF-MNB-00032</v>
      </c>
      <c r="B125" s="21" t="str">
        <f>[1]H610!D624</f>
        <v>Моноблок Aquarius Mnb Pro T927 (АМПР.466539.305) (27"/i5_12400/DDR4_8G/SSD256_M2_NVMe/WiFi/BT/KM)</v>
      </c>
      <c r="C125" s="22">
        <v>1840</v>
      </c>
      <c r="D125" s="23"/>
      <c r="E125" s="23"/>
      <c r="F125" s="23"/>
    </row>
    <row r="126" spans="1:6" outlineLevel="1" x14ac:dyDescent="0.25">
      <c r="A126" s="20" t="str">
        <f>[1]H610!A638</f>
        <v>AQ-CONF-MNB-00057</v>
      </c>
      <c r="B126" s="21" t="str">
        <f>[1]H610!D638</f>
        <v>Моноблок Aquarius Mnb Pro T927 (АМПР.466539.305) (27"/i5_12400/DDR4_8G/SSD512_M2_NVMe/WiFi/BT/KM)</v>
      </c>
      <c r="C126" s="22">
        <v>1865</v>
      </c>
      <c r="D126" s="23"/>
      <c r="E126" s="23"/>
      <c r="F126" s="23"/>
    </row>
    <row r="127" spans="1:6" outlineLevel="1" x14ac:dyDescent="0.25">
      <c r="A127" s="20" t="str">
        <f>[1]H610!A654</f>
        <v>AQ-CONF-MNB-00060</v>
      </c>
      <c r="B127" s="21" t="str">
        <f>[1]H610!D654</f>
        <v>Моноблок Aquarius Mnb Pro T927 (АМПР.466539.305) (27"/i7_12700/DDR4_16G/SSD512_M2_NVMe/WiFi/BT/KM)</v>
      </c>
      <c r="C127" s="22">
        <v>2274</v>
      </c>
      <c r="D127" s="23"/>
      <c r="E127" s="23"/>
      <c r="F127" s="23"/>
    </row>
    <row r="128" spans="1:6" outlineLevel="1" x14ac:dyDescent="0.25">
      <c r="A128" s="20" t="str">
        <f>[1]H610!A669</f>
        <v>AQ-CONF-MNB-00105</v>
      </c>
      <c r="B128" s="21" t="str">
        <f>[1]H610!D669</f>
        <v>Моноблок Aquarius Mnb Pro T927 (АМПР.466539.305) (27"/i3_13100/DDR4_8G/SSD256_M2_NVMe/WiFi/BT/KM)</v>
      </c>
      <c r="C128" s="22">
        <v>1824</v>
      </c>
      <c r="D128" s="23"/>
      <c r="E128" s="23"/>
      <c r="F128" s="23"/>
    </row>
    <row r="129" spans="1:6" outlineLevel="1" x14ac:dyDescent="0.25">
      <c r="A129" s="20" t="str">
        <f>[1]H610!A684</f>
        <v>AQ-CONF-MNB-00062</v>
      </c>
      <c r="B129" s="21" t="str">
        <f>[1]H610!D684</f>
        <v>Моноблок Aquarius Mnb Pro T927 (АМПР.466539.305) (27"/i5_13400/DDR4_8G/SSD256_M2_NVMe/WiFi/BT/KM)</v>
      </c>
      <c r="C129" s="22">
        <v>1967</v>
      </c>
      <c r="D129" s="23"/>
      <c r="E129" s="23"/>
      <c r="F129" s="23"/>
    </row>
    <row r="130" spans="1:6" outlineLevel="1" x14ac:dyDescent="0.25">
      <c r="A130" s="20" t="str">
        <f>[1]H610!A698</f>
        <v>AQ-CONF-MNB-00108</v>
      </c>
      <c r="B130" s="21" t="str">
        <f>[1]H610!D698</f>
        <v>Моноблок Aquarius Mnb Pro T927 (АМПР.466539.305) (27"/i5_13400/DDR4_8G/SSD512_M2_NVMe/WiFi/BT/KM)</v>
      </c>
      <c r="C130" s="22">
        <v>1992</v>
      </c>
      <c r="D130" s="23"/>
      <c r="E130" s="23"/>
      <c r="F130" s="23"/>
    </row>
    <row r="131" spans="1:6" outlineLevel="1" x14ac:dyDescent="0.25">
      <c r="A131" s="20" t="str">
        <f>[1]H610!A714</f>
        <v>AQ-CONF-MNB-00106</v>
      </c>
      <c r="B131" s="21" t="str">
        <f>[1]H610!D714</f>
        <v>Моноблок Aquarius Mnb Pro T927 (АМПР.466539.305) (27"/i7_13700/DDR4_16G/SSD512_M2_NVMe/WiFi/BT/KM)</v>
      </c>
      <c r="C131" s="22">
        <v>2532</v>
      </c>
      <c r="D131" s="23"/>
      <c r="E131" s="23"/>
      <c r="F131" s="23"/>
    </row>
    <row r="132" spans="1:6" outlineLevel="1" x14ac:dyDescent="0.25">
      <c r="A132" s="20" t="str">
        <f>[1]H610!A729</f>
        <v>AQ-CONF-MNB-00065</v>
      </c>
      <c r="B132" s="21" t="str">
        <f>[1]H610!D729</f>
        <v>Моноблок Aquarius Mnb Pro T927 (АМПР.466539.305) (27"/i3_14100/DDR4_8G/SSD512_M2_NVMe/WiFi/BT/KM)</v>
      </c>
      <c r="C132" s="22">
        <v>1851</v>
      </c>
      <c r="D132" s="23"/>
      <c r="E132" s="23"/>
      <c r="F132" s="23"/>
    </row>
    <row r="133" spans="1:6" outlineLevel="1" x14ac:dyDescent="0.25">
      <c r="A133" s="20" t="str">
        <f>[1]H610!A744</f>
        <v>AQ-CONF-MNB-00067</v>
      </c>
      <c r="B133" s="21" t="str">
        <f>[1]H610!D744</f>
        <v>Моноблок Aquarius Mnb Pro T927 (АМПР.466539.305) (27"/i5_14400/DDR4_16G/SSD512_M2_NVMe/WiFi/BT/KM)</v>
      </c>
      <c r="C133" s="22">
        <v>2123</v>
      </c>
      <c r="D133" s="23"/>
      <c r="E133" s="23"/>
      <c r="F133" s="23"/>
    </row>
    <row r="134" spans="1:6" outlineLevel="1" x14ac:dyDescent="0.25">
      <c r="A134" s="20" t="str">
        <f>[1]H610!A759</f>
        <v>AQ-CONF-MNB-00107</v>
      </c>
      <c r="B134" s="21" t="str">
        <f>[1]H610!D759</f>
        <v>Моноблок Aquarius Mnb Pro T927 (АМПР.466539.305) (27"/i7_14700/DDR4_16G/SSD512_M2_NVMe/WiFi/BT/KM)</v>
      </c>
      <c r="C134" s="22">
        <v>2579</v>
      </c>
      <c r="D134" s="23"/>
      <c r="E134" s="23"/>
      <c r="F134" s="23"/>
    </row>
    <row r="135" spans="1:6" s="19" customFormat="1" ht="18.75" outlineLevel="1" x14ac:dyDescent="0.25">
      <c r="A135" s="16" t="s">
        <v>23</v>
      </c>
      <c r="B135" s="17"/>
      <c r="C135" s="18"/>
      <c r="D135" s="18"/>
      <c r="E135" s="18"/>
      <c r="F135" s="18"/>
    </row>
    <row r="136" spans="1:6" outlineLevel="1" x14ac:dyDescent="0.25">
      <c r="A136" s="20" t="str">
        <f>[1]AQH410T!A53</f>
        <v>AQ-CONF-MNB-00002</v>
      </c>
      <c r="B136" s="21" t="str">
        <f>[1]AQH410T!D53</f>
        <v>Моноблок Aquarius Mnb Pro T904 (АМПР.466539.421) (23.8"/i3_10100/DDR4_8G/SSD256_M2_NVMe/WiFi/BT/KM)</v>
      </c>
      <c r="C136" s="22">
        <v>930</v>
      </c>
      <c r="D136" s="23"/>
      <c r="E136" s="23"/>
      <c r="F136" s="23"/>
    </row>
    <row r="137" spans="1:6" outlineLevel="1" x14ac:dyDescent="0.25">
      <c r="A137" s="20" t="str">
        <f>[1]AQH410T!A67</f>
        <v>AQ-CONF-MNB-00039</v>
      </c>
      <c r="B137" s="21" t="str">
        <f>[1]AQH410T!D67</f>
        <v>Моноблок Aquarius Mnb Pro T904 (АМПР.466539.421) (23.8"/i5_10500/DDR4_8G/SSD256_M2_NVMe/WiFi/BT/KM)</v>
      </c>
      <c r="C137" s="22">
        <v>1050</v>
      </c>
      <c r="D137" s="23"/>
      <c r="E137" s="23"/>
      <c r="F137" s="23"/>
    </row>
    <row r="138" spans="1:6" outlineLevel="1" x14ac:dyDescent="0.25">
      <c r="A138" s="20" t="str">
        <f>[1]AQH410T!$A$107</f>
        <v>AQ-CONF-MNB-00110</v>
      </c>
      <c r="B138" s="21" t="str">
        <f>[1]AQH410T!$D$107</f>
        <v>Моноблок Aquarius Mnb Pro T904 (АМПР.466539.421) (23.8"/i5_10500/DDR4_8G/SSD256_M2_SATA/WiFi/BT)</v>
      </c>
      <c r="C138" s="22">
        <v>1037</v>
      </c>
      <c r="D138" s="23"/>
      <c r="E138" s="23"/>
      <c r="F138" s="23"/>
    </row>
    <row r="139" spans="1:6" s="19" customFormat="1" ht="18.75" outlineLevel="1" x14ac:dyDescent="0.25">
      <c r="A139" s="16" t="s">
        <v>24</v>
      </c>
      <c r="B139" s="17"/>
      <c r="C139" s="18"/>
      <c r="D139" s="18"/>
      <c r="E139" s="18"/>
      <c r="F139" s="18"/>
    </row>
    <row r="140" spans="1:6" outlineLevel="1" x14ac:dyDescent="0.25">
      <c r="A140" s="20" t="str">
        <f>[1]AQH410T!A81</f>
        <v>AQ-CONF-MNB-00016</v>
      </c>
      <c r="B140" s="21" t="str">
        <f>[1]AQH410T!D81</f>
        <v>Моноблок Aquarius Mnb Pro T907 (АМПР.466539.302) (27"/i3_10100/DDR4_8G/SSD256_M2_NVMe/WiFi/BT/KM)</v>
      </c>
      <c r="C140" s="22">
        <v>1107</v>
      </c>
      <c r="D140" s="23"/>
      <c r="E140" s="23"/>
      <c r="F140" s="23"/>
    </row>
    <row r="141" spans="1:6" outlineLevel="1" x14ac:dyDescent="0.25">
      <c r="A141" s="20" t="str">
        <f>[1]AQH410T!A94</f>
        <v>AQ-CONF-MNB-00014</v>
      </c>
      <c r="B141" s="21" t="str">
        <f>[1]AQH410T!D94</f>
        <v>Моноблок Aquarius Mnb Pro T907 (АМПР.466539.302) (27"/i5_10500/DDR4_8G/SSD256_M2_NVMe/WiFi/BT/KM)</v>
      </c>
      <c r="C141" s="22">
        <v>1228</v>
      </c>
      <c r="D141" s="23"/>
      <c r="E141" s="23"/>
      <c r="F141" s="23"/>
    </row>
    <row r="142" spans="1:6" s="19" customFormat="1" ht="18.75" outlineLevel="1" x14ac:dyDescent="0.25">
      <c r="A142" s="16" t="s">
        <v>25</v>
      </c>
      <c r="B142" s="17"/>
      <c r="C142" s="18"/>
      <c r="D142" s="18"/>
      <c r="E142" s="18"/>
      <c r="F142" s="18"/>
    </row>
    <row r="143" spans="1:6" outlineLevel="1" x14ac:dyDescent="0.25">
      <c r="A143" s="20" t="str">
        <f>[1]AQX300M!A174</f>
        <v>AQ-CONF-MNB-00104</v>
      </c>
      <c r="B143" s="21" t="str">
        <f>[1]AQX300M!D174</f>
        <v>Моноблок Aquarius Mnb Pro T314 (АМПР.466539.446) (23.8"/R5_5600G/DDR4_8G/SSD256_M2_NVMe/WiFi/BT/KM)</v>
      </c>
      <c r="C143" s="22">
        <v>1124</v>
      </c>
      <c r="D143" s="23"/>
      <c r="E143" s="23"/>
      <c r="F143" s="23"/>
    </row>
    <row r="144" spans="1:6" s="27" customFormat="1" ht="36" customHeight="1" x14ac:dyDescent="0.25">
      <c r="A144" s="26" t="s">
        <v>3</v>
      </c>
      <c r="B144" s="25"/>
      <c r="C144" s="26"/>
      <c r="D144" s="26"/>
      <c r="E144" s="26"/>
      <c r="F144" s="26"/>
    </row>
    <row r="145" spans="1:6" s="19" customFormat="1" ht="18.75" outlineLevel="1" x14ac:dyDescent="0.25">
      <c r="A145" s="29" t="s">
        <v>26</v>
      </c>
      <c r="B145" s="17"/>
      <c r="C145" s="18"/>
      <c r="D145" s="18"/>
      <c r="E145" s="18"/>
      <c r="F145" s="18"/>
    </row>
    <row r="146" spans="1:6" outlineLevel="1" x14ac:dyDescent="0.25">
      <c r="A146" s="20" t="str">
        <f>'[1]Ноут14"'!A11</f>
        <v>AQ-CONF-NB-00001</v>
      </c>
      <c r="B146" s="21" t="str">
        <f>'[1]Ноут14"'!D11</f>
        <v>Ноутбук-трансформер Aquarius Cmp NS483 (АМПР.466539.505) (14" FHD/i5_8250U/LPDDR4_8GB/SSD256_M2/WiFi/BT)</v>
      </c>
      <c r="C146" s="22">
        <v>670</v>
      </c>
      <c r="D146" s="57">
        <v>29500</v>
      </c>
      <c r="E146" s="58"/>
      <c r="F146" s="59"/>
    </row>
    <row r="147" spans="1:6" s="19" customFormat="1" ht="18.75" outlineLevel="1" x14ac:dyDescent="0.25">
      <c r="A147" s="29" t="s">
        <v>27</v>
      </c>
      <c r="B147" s="17"/>
      <c r="C147" s="18"/>
      <c r="D147" s="18"/>
      <c r="E147" s="18"/>
      <c r="F147" s="18"/>
    </row>
    <row r="148" spans="1:6" outlineLevel="1" x14ac:dyDescent="0.25">
      <c r="A148" s="20" t="str">
        <f>'[1]Ноут14"'!A23</f>
        <v>AQ-CONF-NB-00002</v>
      </c>
      <c r="B148" s="21" t="str">
        <f>'[1]Ноут14"'!D23</f>
        <v>Ноутбук-трансформер Aquarius CMP NS483 (Исп.2) (АМПР.466539.505-02) (14" FHD/i3_1125G4/LPDDR4_16G/SSD256_M2/WIFi/BT//DS)</v>
      </c>
      <c r="C148" s="22">
        <v>1197</v>
      </c>
      <c r="D148" s="57">
        <v>52950</v>
      </c>
      <c r="E148" s="58"/>
      <c r="F148" s="59"/>
    </row>
    <row r="149" spans="1:6" outlineLevel="1" x14ac:dyDescent="0.25">
      <c r="A149" s="20" t="str">
        <f>'[1]Ноут14"'!A36</f>
        <v>AQ-CONF-NB-00009</v>
      </c>
      <c r="B149" s="21" t="str">
        <f>'[1]Ноут14"'!D36</f>
        <v>Ноутбук-трансформер Aquarius CMP NS483 (Исп.2) (АМПР.466539.505-02) (14" FHD/i5_1155G7/LPDDR4_16G/SSD256_M2/WIFi/BT//DS)</v>
      </c>
      <c r="C149" s="22">
        <v>1247</v>
      </c>
      <c r="D149" s="57">
        <v>55950</v>
      </c>
      <c r="E149" s="58"/>
      <c r="F149" s="59"/>
    </row>
    <row r="150" spans="1:6" outlineLevel="1" x14ac:dyDescent="0.25">
      <c r="A150" s="20" t="str">
        <f>'[1]Ноут14"'!A47</f>
        <v>AQ-CONF-NB-00101</v>
      </c>
      <c r="B150" s="30" t="str">
        <f>'[1]Ноут14"'!D47</f>
        <v>Ноутбук-трансформер Aquarius CMP NS483 (Исп.2) (АМПР.466539.505-02) (14" FHD/i5_1155G7/LPDDR4_16G/SSD512_M2/WIFi/BT//DS)</v>
      </c>
      <c r="C150" s="22">
        <v>1312</v>
      </c>
      <c r="D150" s="23"/>
      <c r="E150" s="23"/>
      <c r="F150" s="23"/>
    </row>
    <row r="151" spans="1:6" s="19" customFormat="1" ht="18.75" outlineLevel="1" x14ac:dyDescent="0.25">
      <c r="A151" s="16" t="s">
        <v>28</v>
      </c>
      <c r="B151" s="17"/>
      <c r="C151" s="18"/>
      <c r="D151" s="18"/>
      <c r="E151" s="18"/>
      <c r="F151" s="18"/>
    </row>
    <row r="152" spans="1:6" ht="30" outlineLevel="1" x14ac:dyDescent="0.25">
      <c r="A152" s="20" t="str">
        <f>'[1]Ноут14"'!A60</f>
        <v>AQ-CONF-NB-00028</v>
      </c>
      <c r="B152" s="21" t="str">
        <f>'[2]Ноут14"'!D60</f>
        <v>Машина портативная персональная электронно-вычислительная Aquarius Cmp NS934 (АМПР.466539.226) (14" WUXGA(FHD)/i7_1360P/DDR5_16G/SSD512_M2/WiFi/BT/DS)</v>
      </c>
      <c r="C152" s="22">
        <v>2881</v>
      </c>
      <c r="D152" s="23"/>
      <c r="E152" s="23"/>
      <c r="F152" s="23"/>
    </row>
    <row r="153" spans="1:6" ht="30" outlineLevel="1" x14ac:dyDescent="0.25">
      <c r="A153" s="20" t="str">
        <f>'[1]Ноут14"'!A70</f>
        <v>AQ-CONF-NB-00100</v>
      </c>
      <c r="B153" s="21" t="str">
        <f>'[1]Ноут14"'!D70</f>
        <v>Машина портативная персональная электронно-вычислительная Aquarius Cmp NS934 (АМПР.466539.226) (14" WUXGA(FHD)/i7_1360P/DDR5_16G/SSD_512GB_M2/WiFi/BT)</v>
      </c>
      <c r="C153" s="22">
        <v>2881</v>
      </c>
      <c r="D153" s="23"/>
      <c r="E153" s="23"/>
      <c r="F153" s="23"/>
    </row>
    <row r="154" spans="1:6" s="19" customFormat="1" ht="18.75" outlineLevel="1" x14ac:dyDescent="0.25">
      <c r="A154" s="16" t="s">
        <v>29</v>
      </c>
      <c r="B154" s="17"/>
      <c r="C154" s="18"/>
      <c r="D154" s="18"/>
      <c r="E154" s="18"/>
      <c r="F154" s="18"/>
    </row>
    <row r="155" spans="1:6" ht="30" outlineLevel="1" x14ac:dyDescent="0.25">
      <c r="A155" s="20" t="str">
        <f>'[1]Ноут14"'!A117</f>
        <v>AQ-CONF-NB-00017</v>
      </c>
      <c r="B155" s="21" t="str">
        <f>'[1]Ноут14"'!D117</f>
        <v>Машина портативная персональная электронно-вычислительная Aquarius Cmp NS634 (АМПР.466539.267) (14" WUXGA(FHD)/i3_1215U/DDR5_8G/SSD256_M2_NVMe/WiFi/BT/DS)</v>
      </c>
      <c r="C155" s="22">
        <v>1245</v>
      </c>
      <c r="D155" s="23"/>
      <c r="E155" s="23"/>
      <c r="F155" s="23"/>
    </row>
    <row r="156" spans="1:6" ht="30" outlineLevel="1" x14ac:dyDescent="0.25">
      <c r="A156" s="20" t="str">
        <f>'[1]Ноут14"'!A82</f>
        <v>AQ-CONF-NB-00018</v>
      </c>
      <c r="B156" s="21" t="str">
        <f>'[1]Ноут14"'!D82</f>
        <v>Машина портативная персональная электронно-вычислительная Aquarius Cmp NS634 (АМПР.466539.267) (14" WUXGA(FHD)/i5_1235U/DDR5_8G/SSD256_M2_NVMe/WiFi/BT/DS)</v>
      </c>
      <c r="C156" s="22">
        <v>1368</v>
      </c>
      <c r="D156" s="23"/>
      <c r="E156" s="23"/>
      <c r="F156" s="23"/>
    </row>
    <row r="157" spans="1:6" ht="30" outlineLevel="1" x14ac:dyDescent="0.25">
      <c r="A157" s="20" t="str">
        <f>'[1]Ноут14"'!A95</f>
        <v>AQ-CONF-NB-00033</v>
      </c>
      <c r="B157" s="21" t="str">
        <f>'[1]Ноут14"'!D95</f>
        <v>Машина портативная персональная электронно-вычислительная Aquarius Cmp NS634 (АМПР.466539.267) (14" WUXGA(FHD)/i5_1235U/DDR5_8G/SSD512_M2_NVMe/WiFi/BT)</v>
      </c>
      <c r="C157" s="22">
        <v>1362</v>
      </c>
      <c r="D157" s="23"/>
      <c r="E157" s="23"/>
      <c r="F157" s="23"/>
    </row>
    <row r="158" spans="1:6" ht="30" outlineLevel="1" x14ac:dyDescent="0.25">
      <c r="A158" s="20" t="str">
        <f>'[1]Ноут14"'!$A$105</f>
        <v>AQ-CONF-NB-00102</v>
      </c>
      <c r="B158" s="21" t="str">
        <f>'[1]Ноут14"'!D105</f>
        <v>Машина портативная персональная электронно-вычислительная Aquarius Cmp NS634 (АМПР.466539.267) (14" WUXGA(FHD)/i5_1235U/DDR5_16G/SSD512_M2_NVMe/WiFi/BT)</v>
      </c>
      <c r="C158" s="22">
        <v>1437</v>
      </c>
      <c r="D158" s="23"/>
      <c r="E158" s="23"/>
      <c r="F158" s="23"/>
    </row>
    <row r="159" spans="1:6" ht="30" outlineLevel="1" x14ac:dyDescent="0.25">
      <c r="A159" s="20" t="s">
        <v>30</v>
      </c>
      <c r="B159" s="21" t="s">
        <v>31</v>
      </c>
      <c r="C159" s="22">
        <v>1437</v>
      </c>
      <c r="D159" s="23"/>
      <c r="E159" s="23"/>
      <c r="F159" s="23"/>
    </row>
    <row r="160" spans="1:6" ht="30" outlineLevel="1" x14ac:dyDescent="0.25">
      <c r="A160" s="20" t="str">
        <f>'[1]Ноут14"'!A131</f>
        <v>AQ-CONF-NB-00019</v>
      </c>
      <c r="B160" s="21" t="str">
        <f>'[1]Ноут14"'!D131</f>
        <v>Машина портативная персональная электронно-вычислительная Aquarius Cmp NS634 (АМПР.466539.267) (14" WUXGA(FHD)/i5_1335U/DDR5_8G/SSD256_M2_NVMe/WiFi/BT/DS)</v>
      </c>
      <c r="C160" s="22">
        <v>1527</v>
      </c>
      <c r="D160" s="23"/>
      <c r="E160" s="23"/>
      <c r="F160" s="23"/>
    </row>
    <row r="161" spans="1:6" ht="30" outlineLevel="1" x14ac:dyDescent="0.25">
      <c r="A161" s="20" t="str">
        <f>'[1]Ноут14"'!A145</f>
        <v>AQ-CONF-NB-00034</v>
      </c>
      <c r="B161" s="21" t="str">
        <f>'[1]Ноут14"'!D145</f>
        <v>Машина портативная персональная электронно-вычислительная Aquarius Cmp NS634 (АМПР.466539.267) (14" WUXGA(FHD)/i5_1335U/DDR5_8G/SSD512_M2_NVMe/WiFi/BT)</v>
      </c>
      <c r="C161" s="22">
        <v>1520</v>
      </c>
      <c r="D161" s="23"/>
      <c r="E161" s="23"/>
      <c r="F161" s="23"/>
    </row>
    <row r="162" spans="1:6" ht="30" outlineLevel="1" x14ac:dyDescent="0.25">
      <c r="A162" s="20" t="str">
        <f>'[1]Ноут14"'!$A$155</f>
        <v>AQ-CONF-NB-00103</v>
      </c>
      <c r="B162" s="21" t="str">
        <f>'[1]Ноут14"'!D155</f>
        <v>Машина портативная персональная электронно-вычислительная Aquarius Cmp NS634 (АМПР.466539.267) (14" WUXGA(FHD)/i5_1335U/DDR5_16G/SSD512_M2_NVMe/WiFi/BT)</v>
      </c>
      <c r="C162" s="22">
        <v>1595</v>
      </c>
      <c r="D162" s="23"/>
      <c r="E162" s="23"/>
      <c r="F162" s="23"/>
    </row>
    <row r="163" spans="1:6" ht="30" outlineLevel="1" x14ac:dyDescent="0.25">
      <c r="A163" s="20" t="str">
        <f>'[1]Ноут14"'!A180</f>
        <v>AQ-CONF-NB-00035</v>
      </c>
      <c r="B163" s="21" t="str">
        <f>'[1]Ноут14"'!D180</f>
        <v>Машина портативная персональная электронно-вычислительная Aquarius Cmp NS634 (АМПР.466539.267) (14" WUXGA(FHD)/i7_1355U/DDR5_16G/SSD512_M2_NVMe/WiFi/BT)</v>
      </c>
      <c r="C163" s="22">
        <v>1895</v>
      </c>
      <c r="D163" s="23"/>
      <c r="E163" s="23"/>
      <c r="F163" s="23"/>
    </row>
    <row r="164" spans="1:6" ht="30" outlineLevel="1" x14ac:dyDescent="0.25">
      <c r="A164" s="20" t="str">
        <f>'[1]Ноут14"'!A206</f>
        <v>AQ-CONF-NB-00036</v>
      </c>
      <c r="B164" s="21" t="str">
        <f>'[1]Ноут14"'!D206</f>
        <v>Машина портативная персональная электронно-вычислительная Aquarius Cmp NS634 (АМПР.466539.267) (14" WUXGA(FHD)/C5_120U/DDR5_8G/SSD512_M2_NVMe/WiFi/BT)</v>
      </c>
      <c r="C164" s="22">
        <v>1703</v>
      </c>
      <c r="D164" s="23"/>
      <c r="E164" s="23"/>
      <c r="F164" s="23"/>
    </row>
    <row r="165" spans="1:6" s="19" customFormat="1" ht="18.75" outlineLevel="1" x14ac:dyDescent="0.25">
      <c r="A165" s="16" t="s">
        <v>32</v>
      </c>
      <c r="B165" s="17"/>
      <c r="C165" s="18"/>
      <c r="D165" s="18"/>
      <c r="E165" s="18"/>
      <c r="F165" s="18"/>
    </row>
    <row r="166" spans="1:6" ht="44.25" customHeight="1" outlineLevel="1" x14ac:dyDescent="0.25">
      <c r="A166" s="20" t="str">
        <f>'[1]Ноут16"'!A13</f>
        <v>AQ-CONF-NB-00005</v>
      </c>
      <c r="B166" s="21" t="str">
        <f>'[1]Ноут16"'!D13</f>
        <v>Машина портативная персональная электронно-вычислительная Aquarius CMP NS685U R11 (Исп.3) (АМПР.466539.066) (15,6" FHD /i5_10210U/DDR4_8G/SSD256_M2/WiFi/BT)</v>
      </c>
      <c r="C166" s="22">
        <v>651</v>
      </c>
      <c r="D166" s="67">
        <v>27630</v>
      </c>
      <c r="E166" s="68"/>
      <c r="F166" s="69"/>
    </row>
    <row r="167" spans="1:6" s="19" customFormat="1" ht="18.75" outlineLevel="1" x14ac:dyDescent="0.25">
      <c r="A167" s="16" t="s">
        <v>33</v>
      </c>
      <c r="B167" s="17"/>
      <c r="C167" s="18"/>
      <c r="D167" s="18"/>
      <c r="E167" s="18"/>
      <c r="F167" s="18"/>
    </row>
    <row r="168" spans="1:6" ht="30" outlineLevel="1" x14ac:dyDescent="0.25">
      <c r="A168" s="20" t="str">
        <f>'[1]Ноут16"'!A24</f>
        <v>AQ-CONF-NB-00006</v>
      </c>
      <c r="B168" s="21" t="str">
        <f>'[1]Ноут16"'!D24</f>
        <v>Машина портативная персональная электронно-вычислительная Aquarius CMP NS685U Исполнение 4 (АМПР.466539.208-04) (15,6" FHD /i3_1125G4/DDR4_8G/SSD256_M2_NVMe/WiFi/BT)</v>
      </c>
      <c r="C168" s="22">
        <v>727</v>
      </c>
      <c r="D168" s="67">
        <v>32000</v>
      </c>
      <c r="E168" s="68"/>
      <c r="F168" s="69"/>
    </row>
    <row r="169" spans="1:6" ht="30" outlineLevel="1" x14ac:dyDescent="0.25">
      <c r="A169" s="20" t="str">
        <f>'[1]Ноут16"'!A36</f>
        <v>AQ-CONF-NB-00012</v>
      </c>
      <c r="B169" s="21" t="str">
        <f>'[1]Ноут16"'!D36</f>
        <v>Машина портативная персональная электронно-вычислительная Aquarius CMP NS685U Исполнение 4 (АМПР.466539.208-04) (15,6" FHD /i5_1155G7/DDR4_8G/SSD256_M2_NVMe/WiFi/BT)</v>
      </c>
      <c r="C169" s="22">
        <v>1050</v>
      </c>
      <c r="D169" s="23"/>
      <c r="E169" s="23"/>
      <c r="F169" s="23"/>
    </row>
    <row r="170" spans="1:6" ht="58.5" customHeight="1" outlineLevel="1" x14ac:dyDescent="0.25">
      <c r="A170" s="20" t="str">
        <f>'[1]Ноут16"'!A49</f>
        <v>AQ-CONF-NB-00013</v>
      </c>
      <c r="B170" s="21" t="str">
        <f>'[1]Ноут16"'!D49</f>
        <v>Машина портативная персональная электронно-вычислительная Aquarius CMP NS685U Исполнение 4 (АМПР.466539.208-04) (15,6" FHD /i7_1195G7/DDR4_8G/SSD256_M2_NVMe/WiFi/BT)</v>
      </c>
      <c r="C170" s="22">
        <v>1172</v>
      </c>
      <c r="D170" s="23"/>
      <c r="E170" s="23"/>
      <c r="F170" s="23"/>
    </row>
    <row r="171" spans="1:6" s="19" customFormat="1" ht="18.75" outlineLevel="1" x14ac:dyDescent="0.25">
      <c r="A171" s="16" t="s">
        <v>34</v>
      </c>
      <c r="B171" s="17"/>
      <c r="C171" s="18"/>
      <c r="D171" s="18"/>
      <c r="E171" s="18"/>
      <c r="F171" s="18"/>
    </row>
    <row r="172" spans="1:6" ht="30" outlineLevel="1" x14ac:dyDescent="0.25">
      <c r="A172" s="20" t="str">
        <f>'[1]Ноут16"'!A61</f>
        <v>AQ-CONF-NB-00014</v>
      </c>
      <c r="B172" s="21" t="str">
        <f>'[1]Ноут16"'!D61</f>
        <v>Машина портативная персональная электронно-вычислительная Aquarius Cmp NS616 (АМПР.466539.072) (16" WQXGA(QHD)/i5_1155G7/DDR4_8G/SSD256_M2_NVMe/WiFi/BT)</v>
      </c>
      <c r="C172" s="22">
        <v>1157</v>
      </c>
      <c r="D172" s="57">
        <v>55950</v>
      </c>
      <c r="E172" s="58"/>
      <c r="F172" s="59"/>
    </row>
    <row r="173" spans="1:6" ht="30" outlineLevel="1" x14ac:dyDescent="0.25">
      <c r="A173" s="20" t="str">
        <f>'[1]Ноут16"'!A74</f>
        <v>AQ-CONF-NB-00015</v>
      </c>
      <c r="B173" s="21" t="str">
        <f>'[1]Ноут16"'!D74</f>
        <v>Машина портативная персональная электронно-вычислительная Aquarius Cmp NS616 (АМПР.466539.072) (16" WQXGA(QHD)/i7_1195G7/DDR4_8G/SSD256_M2_NVMe/WiFi/BT)</v>
      </c>
      <c r="C173" s="22">
        <v>1434</v>
      </c>
      <c r="D173" s="23"/>
      <c r="E173" s="23"/>
      <c r="F173" s="23"/>
    </row>
    <row r="174" spans="1:6" s="19" customFormat="1" ht="18.75" outlineLevel="1" x14ac:dyDescent="0.25">
      <c r="A174" s="16" t="s">
        <v>35</v>
      </c>
      <c r="B174" s="17"/>
      <c r="C174" s="18"/>
      <c r="D174" s="18"/>
      <c r="E174" s="18"/>
      <c r="F174" s="18"/>
    </row>
    <row r="175" spans="1:6" ht="30" outlineLevel="1" x14ac:dyDescent="0.25">
      <c r="A175" s="20" t="str">
        <f>'[1]Ноут16"'!A87</f>
        <v>AQ-CONF-NB-00027</v>
      </c>
      <c r="B175" s="21" t="str">
        <f>'[1]Ноут16"'!D87</f>
        <v>Машина портативная персональная электронно-вычислительная Aquarius Cmp NS626 (АМПР.466539.216) (16" WQXGA(QHD)/i5_1235U/DDR4_8G/SSD256_M2_NVMe/WiFi/BT)</v>
      </c>
      <c r="C175" s="22">
        <v>1430</v>
      </c>
      <c r="D175" s="23"/>
      <c r="E175" s="23"/>
      <c r="F175" s="23"/>
    </row>
    <row r="176" spans="1:6" s="19" customFormat="1" ht="18.75" outlineLevel="1" x14ac:dyDescent="0.25">
      <c r="A176" s="16" t="s">
        <v>36</v>
      </c>
      <c r="B176" s="17"/>
      <c r="C176" s="18"/>
      <c r="D176" s="18"/>
      <c r="E176" s="18"/>
      <c r="F176" s="18"/>
    </row>
    <row r="177" spans="1:6" ht="30" outlineLevel="1" x14ac:dyDescent="0.25">
      <c r="A177" s="20" t="str">
        <f>'[1]Ноут16"'!A136</f>
        <v>AQ-CONF-NB-00022</v>
      </c>
      <c r="B177" s="21" t="str">
        <f>'[1]Ноут16"'!D136</f>
        <v>Машина портативная персональная электронно-вычислительная Aquarius Cmp NS636 (АМПР.466539.269) (16" WUXGA(FHD)/i3_1215U/DDR5_8G/SSD256_M2_NVMe/WiFi/BT/DS)</v>
      </c>
      <c r="C177" s="22">
        <v>1358</v>
      </c>
      <c r="D177" s="23"/>
      <c r="E177" s="23"/>
      <c r="F177" s="23"/>
    </row>
    <row r="178" spans="1:6" ht="30" outlineLevel="1" x14ac:dyDescent="0.25">
      <c r="A178" s="20" t="str">
        <f>'[1]Ноут16"'!A101</f>
        <v>AQ-CONF-NB-00023</v>
      </c>
      <c r="B178" s="21" t="str">
        <f>'[1]Ноут16"'!D101</f>
        <v>Машина портативная персональная электронно-вычислительная Aquarius Cmp NS636 (АМПР.466539.269) (16" WUXGA(FHD)/i5_1235U/DDR5_8G/SSD256_M2_NVMe/WiFi/BT/DS)</v>
      </c>
      <c r="C178" s="22">
        <v>1411</v>
      </c>
      <c r="D178" s="23"/>
      <c r="E178" s="23"/>
      <c r="F178" s="23"/>
    </row>
    <row r="179" spans="1:6" ht="30" outlineLevel="1" x14ac:dyDescent="0.25">
      <c r="A179" s="20" t="str">
        <f>'[1]Ноут16"'!A114</f>
        <v>AQ-CONF-NB-00037</v>
      </c>
      <c r="B179" s="21" t="str">
        <f>'[1]Ноут16"'!D114</f>
        <v>Машина портативная персональная электронно-вычислительная Aquarius Cmp NS636 (АМПР.466539.269) (16" WUXGA(FHD)/i5_1235U/DDR5_8G/SSD512_M2_NVMe/WiFi/BT)</v>
      </c>
      <c r="C179" s="22">
        <v>1405</v>
      </c>
      <c r="D179" s="23"/>
      <c r="E179" s="23"/>
      <c r="F179" s="23"/>
    </row>
    <row r="180" spans="1:6" ht="30" outlineLevel="1" x14ac:dyDescent="0.25">
      <c r="A180" s="20" t="str">
        <f>'[1]Ноут16"'!$A$124</f>
        <v>AQ-CONF-NB-00104</v>
      </c>
      <c r="B180" s="21" t="str">
        <f>'[1]Ноут16"'!D124</f>
        <v>Машина портативная персональная электронно-вычислительная Aquarius Cmp NS636 (АМПР.466539.269) (16" WUXGA(FHD)/i5_1235U/DDR5_16G/SSD512_M2_NVMe/WiFi/BT)</v>
      </c>
      <c r="C180" s="22">
        <v>1480</v>
      </c>
      <c r="D180" s="23"/>
      <c r="E180" s="23"/>
      <c r="F180" s="23"/>
    </row>
    <row r="181" spans="1:6" ht="30" outlineLevel="1" x14ac:dyDescent="0.25">
      <c r="A181" s="20" t="s">
        <v>37</v>
      </c>
      <c r="B181" s="21" t="s">
        <v>38</v>
      </c>
      <c r="C181" s="22">
        <v>1480</v>
      </c>
      <c r="D181" s="23"/>
      <c r="E181" s="23"/>
      <c r="F181" s="23"/>
    </row>
    <row r="182" spans="1:6" ht="30" outlineLevel="1" x14ac:dyDescent="0.25">
      <c r="A182" s="20" t="str">
        <f>'[1]Ноут16"'!A150</f>
        <v>AQ-CONF-NB-00024</v>
      </c>
      <c r="B182" s="21" t="str">
        <f>'[1]Ноут16"'!D150</f>
        <v>Машина портативная персональная электронно-вычислительная Aquarius Cmp NS636 (АМПР.466539.269) (16" WUXGA(FHD)/i5_1335U/DDR5_8G/SSD256_M2_NVMe/WiFi/BT/DS)</v>
      </c>
      <c r="C182" s="22">
        <v>1570</v>
      </c>
      <c r="D182" s="23"/>
      <c r="E182" s="23"/>
      <c r="F182" s="23"/>
    </row>
    <row r="183" spans="1:6" ht="30" outlineLevel="1" x14ac:dyDescent="0.25">
      <c r="A183" s="20" t="str">
        <f>'[1]Ноут16"'!A163</f>
        <v>AQ-CONF-NB-00038</v>
      </c>
      <c r="B183" s="21" t="str">
        <f>'[1]Ноут16"'!D163</f>
        <v>Машина портативная персональная электронно-вычислительная Aquarius Cmp NS636 (АМПР.466539.269) (16" WUXGA(FHD)/i5_1335U/DDR5_8G/SSD512_M2_NVMe/WiFi/BT)</v>
      </c>
      <c r="C183" s="22">
        <v>1563</v>
      </c>
      <c r="D183" s="23"/>
      <c r="E183" s="23"/>
      <c r="F183" s="23"/>
    </row>
    <row r="184" spans="1:6" ht="30" outlineLevel="1" x14ac:dyDescent="0.25">
      <c r="A184" s="20" t="str">
        <f>'[1]Ноут16"'!A188</f>
        <v>AQ-CONF-NB-00039</v>
      </c>
      <c r="B184" s="21" t="str">
        <f>'[1]Ноут16"'!D188</f>
        <v>Машина портативная персональная электронно-вычислительная Aquarius Cmp NS636 (АМПР.466539.269) (16" WQXGA(QHD)/i7_1355U/DDR5_16G/SSD512_M2_NVMe/WiFi/BT)</v>
      </c>
      <c r="C184" s="22">
        <v>2008</v>
      </c>
      <c r="D184" s="23"/>
      <c r="E184" s="23"/>
      <c r="F184" s="23"/>
    </row>
    <row r="185" spans="1:6" ht="30" outlineLevel="1" x14ac:dyDescent="0.25">
      <c r="A185" s="20" t="str">
        <f>'[1]Ноут16"'!A214</f>
        <v>AQ-CONF-NB-00040</v>
      </c>
      <c r="B185" s="21" t="str">
        <f>'[1]Ноут16"'!D214</f>
        <v>Машина портативная персональная электронно-вычислительная Aquarius Cmp NS636 (АМПР.466539.269) (16" WQXGA(QHD)/C5_120U/DDR5_8G/SSD512_M2_NVMe/WiFi/BT)</v>
      </c>
      <c r="C185" s="22">
        <v>1817</v>
      </c>
      <c r="D185" s="23"/>
      <c r="E185" s="23"/>
      <c r="F185" s="23"/>
    </row>
    <row r="186" spans="1:6" s="19" customFormat="1" ht="18.75" outlineLevel="1" x14ac:dyDescent="0.25">
      <c r="A186" s="16" t="s">
        <v>39</v>
      </c>
      <c r="B186" s="17"/>
      <c r="C186" s="18"/>
      <c r="D186" s="18"/>
      <c r="E186" s="18"/>
      <c r="F186" s="18"/>
    </row>
    <row r="187" spans="1:6" ht="30" outlineLevel="1" x14ac:dyDescent="0.25">
      <c r="A187" s="20" t="str">
        <f>'[1]Ноут16"'!A226</f>
        <v>AQ-CONF-NB-00016</v>
      </c>
      <c r="B187" s="21" t="str">
        <f>'[1]Ноут16"'!D226</f>
        <v>Машина портативная персональная электронно-вычислительная Aquarius Cmp NE355 (АМПР.466539.200) (15,6" FHD/R5_6600H/DDR5_8G/SSD256_M2_NVMe/WiFi/BT)</v>
      </c>
      <c r="C187" s="22">
        <v>1012</v>
      </c>
      <c r="D187" s="23"/>
      <c r="E187" s="23"/>
      <c r="F187" s="23"/>
    </row>
    <row r="188" spans="1:6" s="19" customFormat="1" ht="18.75" outlineLevel="1" x14ac:dyDescent="0.25">
      <c r="A188" s="16" t="s">
        <v>40</v>
      </c>
      <c r="B188" s="17"/>
      <c r="C188" s="18"/>
      <c r="D188" s="18"/>
      <c r="E188" s="18"/>
      <c r="F188" s="18"/>
    </row>
    <row r="189" spans="1:6" ht="30" outlineLevel="1" x14ac:dyDescent="0.25">
      <c r="A189" s="20" t="str">
        <f>'[1]Ноут16"'!A240</f>
        <v>AQ-CONF-NB-00032</v>
      </c>
      <c r="B189" s="21" t="str">
        <f>'[1]Ноут16"'!D240</f>
        <v>Машина портативная персональная электронно-вычислительная Aquarius Cmp NE356 (АМПР.466539.201) (16" WUXGA(FHD)/R5_6600H/DDR5_8G/SSD256_M2_NVMe/WiFi/BT)</v>
      </c>
      <c r="C189" s="22">
        <v>1089</v>
      </c>
      <c r="D189" s="23"/>
      <c r="E189" s="23"/>
      <c r="F189" s="23"/>
    </row>
    <row r="190" spans="1:6" s="19" customFormat="1" ht="18.75" outlineLevel="1" x14ac:dyDescent="0.25">
      <c r="A190" s="16" t="s">
        <v>41</v>
      </c>
      <c r="B190" s="17"/>
      <c r="C190" s="18"/>
      <c r="D190" s="18"/>
      <c r="E190" s="18"/>
      <c r="F190" s="18"/>
    </row>
    <row r="191" spans="1:6" ht="26.25" customHeight="1" outlineLevel="1" x14ac:dyDescent="0.25">
      <c r="A191" s="20" t="str">
        <f>'[1]715R'!A13</f>
        <v>AQ-CONF-NB-00029</v>
      </c>
      <c r="B191" s="21" t="str">
        <f>'[1]715R'!D13</f>
        <v>Ноутбук в защищенном исполнении Aquarius Cmp NS715R (АМПР.466539.260) (15,6" FHD/i5_1135G7/LPDDR4_16G/SSD512_M2_NVMe)</v>
      </c>
      <c r="C191" s="22">
        <v>3464</v>
      </c>
      <c r="D191" s="23"/>
      <c r="E191" s="23"/>
      <c r="F191" s="23"/>
    </row>
    <row r="192" spans="1:6" ht="30" outlineLevel="1" x14ac:dyDescent="0.25">
      <c r="A192" s="20" t="str">
        <f>'[1]715R'!A26</f>
        <v>AQ-CONF-NB-00030</v>
      </c>
      <c r="B192" s="21" t="str">
        <f>'[1]715R'!D26</f>
        <v>Ноутбук в защищенном исполнении Aquarius Cmp NS715R (АМПР.466539.260) (15,6" FHD/i5_1135G7/LPDDR4_16G/SSD512_M2_NVMe/WIFI/BT/LTE)</v>
      </c>
      <c r="C192" s="22">
        <v>3614</v>
      </c>
      <c r="D192" s="23"/>
      <c r="E192" s="23"/>
      <c r="F192" s="23"/>
    </row>
    <row r="193" spans="1:6" ht="30" outlineLevel="1" x14ac:dyDescent="0.25">
      <c r="A193" s="20" t="str">
        <f>'[1]715R'!A39</f>
        <v>AQ-CONF-NB-00031</v>
      </c>
      <c r="B193" s="21" t="str">
        <f>'[1]715R'!D39</f>
        <v>Ноутбук в защищенном исполнении Aquarius Cmp NS715R (АМПР.466539.260) (15,6" FHD/i7_1165G7/LPDDR4_16G/SSD512_M2_NVMe/WIFI/BT/LTE)</v>
      </c>
      <c r="C193" s="22">
        <v>3835</v>
      </c>
      <c r="D193" s="23"/>
      <c r="E193" s="23"/>
      <c r="F193" s="23"/>
    </row>
    <row r="194" spans="1:6" s="27" customFormat="1" ht="36" customHeight="1" x14ac:dyDescent="0.25">
      <c r="A194" s="26" t="s">
        <v>4</v>
      </c>
      <c r="B194" s="25"/>
      <c r="C194" s="26"/>
      <c r="D194" s="26"/>
      <c r="E194" s="26"/>
      <c r="F194" s="26"/>
    </row>
    <row r="195" spans="1:6" outlineLevel="1" x14ac:dyDescent="0.25">
      <c r="A195" s="20" t="str">
        <f>[1]Mon!A7</f>
        <v>AQC-MON-00002</v>
      </c>
      <c r="B195" s="21" t="str">
        <f>[1]Mon!D7</f>
        <v>Монитор 23,8" (АМПР.463131.001) (1920x1080@75Hz IPS 16:9 5ms VGA HDMI DVI-D 178/178 250cd 1000:1 Audio out МПТ)</v>
      </c>
      <c r="C195" s="22">
        <v>197</v>
      </c>
      <c r="D195" s="23"/>
      <c r="E195" s="23"/>
      <c r="F195" s="23"/>
    </row>
    <row r="196" spans="1:6" outlineLevel="1" x14ac:dyDescent="0.25">
      <c r="A196" s="20" t="str">
        <f>[1]Mon!A14</f>
        <v>AQC-MON-00003</v>
      </c>
      <c r="B196" s="21" t="str">
        <f>[1]Mon!D14</f>
        <v>Монитор 27" (АМПР.463131.003) (1920x1080@75Hz IPS 16:9 5ms VGA HDMI 178/178 250cd 1000:1 Audio out МПТ)</v>
      </c>
      <c r="C196" s="22">
        <v>234</v>
      </c>
      <c r="D196" s="23"/>
      <c r="E196" s="23"/>
      <c r="F196" s="23"/>
    </row>
    <row r="197" spans="1:6" s="27" customFormat="1" ht="36" customHeight="1" x14ac:dyDescent="0.25">
      <c r="A197" s="26" t="s">
        <v>5</v>
      </c>
      <c r="B197" s="25"/>
      <c r="C197" s="26"/>
      <c r="D197" s="26"/>
      <c r="E197" s="26"/>
      <c r="F197" s="26"/>
    </row>
    <row r="198" spans="1:6" s="19" customFormat="1" ht="18.75" outlineLevel="1" x14ac:dyDescent="0.25">
      <c r="A198" s="16" t="s">
        <v>42</v>
      </c>
      <c r="B198" s="17"/>
      <c r="C198" s="18"/>
      <c r="D198" s="18"/>
      <c r="E198" s="18"/>
      <c r="F198" s="18"/>
    </row>
    <row r="199" spans="1:6" ht="40.5" customHeight="1" outlineLevel="2" x14ac:dyDescent="0.25">
      <c r="A199" s="31" t="s">
        <v>43</v>
      </c>
      <c r="B199" s="21" t="str">
        <f>[1]Options!D70</f>
        <v>RAM SO-DIMM DDR4 8GB 3200MHz RU AQ</v>
      </c>
      <c r="C199" s="22">
        <v>53</v>
      </c>
      <c r="D199" s="23"/>
      <c r="E199" s="23"/>
      <c r="F199" s="23"/>
    </row>
    <row r="200" spans="1:6" outlineLevel="2" x14ac:dyDescent="0.25">
      <c r="A200" s="31" t="s">
        <v>44</v>
      </c>
      <c r="B200" s="21" t="s">
        <v>45</v>
      </c>
      <c r="C200" s="22">
        <v>69</v>
      </c>
      <c r="D200" s="23"/>
      <c r="E200" s="23"/>
      <c r="F200" s="23"/>
    </row>
    <row r="201" spans="1:6" outlineLevel="2" x14ac:dyDescent="0.25">
      <c r="A201" s="31" t="s">
        <v>46</v>
      </c>
      <c r="B201" s="21" t="s">
        <v>47</v>
      </c>
      <c r="C201" s="22">
        <v>148</v>
      </c>
      <c r="D201" s="23"/>
      <c r="E201" s="23"/>
      <c r="F201" s="23"/>
    </row>
    <row r="202" spans="1:6" outlineLevel="2" x14ac:dyDescent="0.25">
      <c r="A202" s="31" t="s">
        <v>48</v>
      </c>
      <c r="B202" s="21" t="s">
        <v>49</v>
      </c>
      <c r="C202" s="22">
        <v>43</v>
      </c>
      <c r="D202" s="23"/>
      <c r="E202" s="23"/>
      <c r="F202" s="23"/>
    </row>
    <row r="203" spans="1:6" outlineLevel="2" x14ac:dyDescent="0.25">
      <c r="A203" s="31" t="s">
        <v>50</v>
      </c>
      <c r="B203" s="21" t="s">
        <v>51</v>
      </c>
      <c r="C203" s="22">
        <v>11</v>
      </c>
      <c r="D203" s="23"/>
      <c r="E203" s="23"/>
      <c r="F203" s="23"/>
    </row>
    <row r="204" spans="1:6" outlineLevel="2" x14ac:dyDescent="0.25">
      <c r="A204" s="31" t="str">
        <f>[1]Options!A68</f>
        <v>AQC-RAM-00329</v>
      </c>
      <c r="B204" s="32" t="s">
        <v>52</v>
      </c>
      <c r="C204" s="22">
        <v>56</v>
      </c>
      <c r="D204" s="23"/>
      <c r="E204" s="23"/>
      <c r="F204" s="23"/>
    </row>
    <row r="205" spans="1:6" outlineLevel="2" x14ac:dyDescent="0.25">
      <c r="A205" s="31" t="str">
        <f>[1]Options!A69</f>
        <v>AQC-RAM-00328</v>
      </c>
      <c r="B205" s="32" t="s">
        <v>53</v>
      </c>
      <c r="C205" s="22">
        <v>53</v>
      </c>
      <c r="D205" s="23"/>
      <c r="E205" s="23"/>
      <c r="F205" s="23"/>
    </row>
    <row r="206" spans="1:6" outlineLevel="2" x14ac:dyDescent="0.25">
      <c r="A206" s="31" t="str">
        <f>[1]Options!A70</f>
        <v>AQC-RAM-00330</v>
      </c>
      <c r="B206" s="32" t="s">
        <v>54</v>
      </c>
      <c r="C206" s="22">
        <v>53</v>
      </c>
      <c r="D206" s="23"/>
      <c r="E206" s="23"/>
      <c r="F206" s="23"/>
    </row>
    <row r="207" spans="1:6" outlineLevel="2" x14ac:dyDescent="0.25">
      <c r="A207" s="31" t="str">
        <f>[1]Options!A71</f>
        <v>AQC-RAM-00331</v>
      </c>
      <c r="B207" s="32" t="s">
        <v>55</v>
      </c>
      <c r="C207" s="22">
        <v>105</v>
      </c>
      <c r="D207" s="23"/>
      <c r="E207" s="23"/>
      <c r="F207" s="23"/>
    </row>
    <row r="208" spans="1:6" s="19" customFormat="1" ht="18.75" outlineLevel="2" x14ac:dyDescent="0.25">
      <c r="A208" s="16" t="s">
        <v>56</v>
      </c>
      <c r="B208" s="17"/>
      <c r="C208" s="18"/>
      <c r="D208" s="18"/>
      <c r="E208" s="18"/>
      <c r="F208" s="18"/>
    </row>
    <row r="209" spans="1:6" outlineLevel="2" x14ac:dyDescent="0.25">
      <c r="A209" s="33" t="s">
        <v>57</v>
      </c>
      <c r="B209" s="34" t="s">
        <v>58</v>
      </c>
      <c r="C209" s="22">
        <v>70</v>
      </c>
      <c r="D209" s="23"/>
      <c r="E209" s="23"/>
      <c r="F209" s="23"/>
    </row>
    <row r="210" spans="1:6" ht="29.25" customHeight="1" outlineLevel="2" x14ac:dyDescent="0.25">
      <c r="A210" s="33" t="s">
        <v>59</v>
      </c>
      <c r="B210" s="35" t="s">
        <v>60</v>
      </c>
      <c r="C210" s="22">
        <v>70</v>
      </c>
      <c r="D210" s="23"/>
      <c r="E210" s="23"/>
      <c r="F210" s="23"/>
    </row>
    <row r="211" spans="1:6" outlineLevel="2" x14ac:dyDescent="0.25">
      <c r="A211" s="33" t="s">
        <v>61</v>
      </c>
      <c r="B211" s="21" t="s">
        <v>62</v>
      </c>
      <c r="C211" s="22">
        <v>43</v>
      </c>
      <c r="D211" s="23"/>
      <c r="E211" s="23"/>
      <c r="F211" s="23"/>
    </row>
    <row r="212" spans="1:6" outlineLevel="2" x14ac:dyDescent="0.25">
      <c r="A212" s="33" t="s">
        <v>63</v>
      </c>
      <c r="B212" s="21" t="s">
        <v>64</v>
      </c>
      <c r="C212" s="22">
        <v>38</v>
      </c>
      <c r="D212" s="23"/>
      <c r="E212" s="23"/>
      <c r="F212" s="23"/>
    </row>
    <row r="213" spans="1:6" outlineLevel="2" x14ac:dyDescent="0.25">
      <c r="A213" s="33" t="s">
        <v>65</v>
      </c>
      <c r="B213" s="21" t="s">
        <v>66</v>
      </c>
      <c r="C213" s="22">
        <v>53</v>
      </c>
      <c r="D213" s="23"/>
      <c r="E213" s="23"/>
      <c r="F213" s="23"/>
    </row>
    <row r="214" spans="1:6" outlineLevel="2" x14ac:dyDescent="0.25">
      <c r="A214" s="33" t="s">
        <v>67</v>
      </c>
      <c r="B214" s="21" t="s">
        <v>68</v>
      </c>
      <c r="C214" s="22">
        <v>53</v>
      </c>
      <c r="D214" s="23"/>
      <c r="E214" s="23"/>
      <c r="F214" s="23"/>
    </row>
    <row r="215" spans="1:6" outlineLevel="2" x14ac:dyDescent="0.25">
      <c r="A215" s="33" t="s">
        <v>69</v>
      </c>
      <c r="B215" s="21" t="s">
        <v>70</v>
      </c>
      <c r="C215" s="22">
        <v>141</v>
      </c>
      <c r="D215" s="23"/>
      <c r="E215" s="23"/>
      <c r="F215" s="23"/>
    </row>
    <row r="216" spans="1:6" ht="30" outlineLevel="2" x14ac:dyDescent="0.25">
      <c r="A216" s="33" t="s">
        <v>71</v>
      </c>
      <c r="B216" s="21" t="s">
        <v>72</v>
      </c>
      <c r="C216" s="22">
        <v>35</v>
      </c>
      <c r="D216" s="23"/>
      <c r="E216" s="23"/>
      <c r="F216" s="23"/>
    </row>
    <row r="217" spans="1:6" ht="30" outlineLevel="2" x14ac:dyDescent="0.25">
      <c r="A217" s="33" t="s">
        <v>73</v>
      </c>
      <c r="B217" s="21" t="s">
        <v>74</v>
      </c>
      <c r="C217" s="22">
        <v>71</v>
      </c>
      <c r="D217" s="23"/>
      <c r="E217" s="23"/>
      <c r="F217" s="23"/>
    </row>
    <row r="218" spans="1:6" outlineLevel="2" x14ac:dyDescent="0.25">
      <c r="A218" s="33" t="s">
        <v>75</v>
      </c>
      <c r="B218" s="21" t="s">
        <v>76</v>
      </c>
      <c r="C218" s="22">
        <v>6</v>
      </c>
      <c r="D218" s="23"/>
      <c r="E218" s="23"/>
      <c r="F218" s="23"/>
    </row>
    <row r="219" spans="1:6" outlineLevel="2" x14ac:dyDescent="0.25">
      <c r="A219" s="33" t="s">
        <v>77</v>
      </c>
      <c r="B219" s="36" t="s">
        <v>78</v>
      </c>
      <c r="C219" s="22">
        <v>287</v>
      </c>
      <c r="D219" s="23"/>
      <c r="E219" s="23"/>
      <c r="F219" s="23"/>
    </row>
    <row r="220" spans="1:6" outlineLevel="2" x14ac:dyDescent="0.25">
      <c r="A220" s="33" t="s">
        <v>79</v>
      </c>
      <c r="B220" s="21" t="s">
        <v>80</v>
      </c>
      <c r="C220" s="22">
        <v>116</v>
      </c>
      <c r="D220" s="23"/>
      <c r="E220" s="23"/>
      <c r="F220" s="23"/>
    </row>
    <row r="221" spans="1:6" outlineLevel="2" x14ac:dyDescent="0.25">
      <c r="A221" s="33" t="s">
        <v>81</v>
      </c>
      <c r="B221" s="21" t="s">
        <v>82</v>
      </c>
      <c r="C221" s="22">
        <v>194</v>
      </c>
      <c r="D221" s="23"/>
      <c r="E221" s="23"/>
      <c r="F221" s="23"/>
    </row>
    <row r="222" spans="1:6" s="19" customFormat="1" ht="18.75" outlineLevel="2" x14ac:dyDescent="0.25">
      <c r="A222" s="16" t="s">
        <v>83</v>
      </c>
      <c r="B222" s="17"/>
      <c r="C222" s="18"/>
      <c r="D222" s="18"/>
      <c r="E222" s="18"/>
      <c r="F222" s="18"/>
    </row>
    <row r="223" spans="1:6" outlineLevel="2" x14ac:dyDescent="0.25">
      <c r="A223" s="33" t="str">
        <f>[1]Mon!A18</f>
        <v>AQC-OPTION-00007</v>
      </c>
      <c r="B223" s="21" t="str">
        <f>[1]Mon!D18</f>
        <v>Подставка для монитора Adjustable stand</v>
      </c>
      <c r="C223" s="22">
        <v>69</v>
      </c>
      <c r="D223" s="23">
        <v>43.85472</v>
      </c>
      <c r="E223" s="23">
        <v>42.484259999999999</v>
      </c>
      <c r="F223" s="23">
        <v>40.428570000000001</v>
      </c>
    </row>
    <row r="224" spans="1:6" s="27" customFormat="1" ht="36" customHeight="1" x14ac:dyDescent="0.25">
      <c r="A224" s="26" t="s">
        <v>6</v>
      </c>
      <c r="B224" s="25"/>
      <c r="C224" s="26"/>
      <c r="D224" s="26"/>
      <c r="E224" s="26"/>
      <c r="F224" s="26"/>
    </row>
    <row r="225" spans="1:6" ht="54" customHeight="1" outlineLevel="1" x14ac:dyDescent="0.25">
      <c r="A225" s="33" t="str">
        <f>'[1]ПО '!A13</f>
        <v>AQC-SFT-00012</v>
      </c>
      <c r="B225" s="21" t="s">
        <v>84</v>
      </c>
      <c r="C225" s="22">
        <v>134</v>
      </c>
      <c r="D225" s="23"/>
      <c r="E225" s="23"/>
      <c r="F225" s="23"/>
    </row>
    <row r="226" spans="1:6" ht="43.5" customHeight="1" outlineLevel="1" x14ac:dyDescent="0.25">
      <c r="A226" s="33" t="str">
        <f>'[1]ПО '!A14</f>
        <v>AQC-SFT-00013</v>
      </c>
      <c r="B226" s="21" t="s">
        <v>85</v>
      </c>
      <c r="C226" s="22">
        <v>247</v>
      </c>
      <c r="D226" s="23"/>
      <c r="E226" s="23"/>
      <c r="F226" s="23"/>
    </row>
    <row r="227" spans="1:6" ht="41.25" customHeight="1" outlineLevel="1" x14ac:dyDescent="0.25">
      <c r="A227" s="33" t="str">
        <f>'[1]ПО '!A19</f>
        <v>AQC-SFT-00014</v>
      </c>
      <c r="B227" s="21" t="s">
        <v>86</v>
      </c>
      <c r="C227" s="22">
        <v>347</v>
      </c>
      <c r="D227" s="23"/>
      <c r="E227" s="23"/>
      <c r="F227" s="23"/>
    </row>
    <row r="228" spans="1:6" ht="27" customHeight="1" outlineLevel="1" x14ac:dyDescent="0.25">
      <c r="A228" s="33" t="str">
        <f>'[1]ПО '!A20</f>
        <v>AQC-SFT-00015</v>
      </c>
      <c r="B228" s="21" t="str">
        <f>'[1]ПО '!D20</f>
        <v>Альт Рабочая станция / 1292 / Лицензия на право использования Альт Рабочая станция 10 / бессрочная / арх. х86_64</v>
      </c>
      <c r="C228" s="60" t="s">
        <v>87</v>
      </c>
      <c r="D228" s="23"/>
      <c r="E228" s="23"/>
      <c r="F228" s="23"/>
    </row>
    <row r="229" spans="1:6" ht="39.75" customHeight="1" outlineLevel="1" x14ac:dyDescent="0.25">
      <c r="A229" s="33" t="str">
        <f>'[1]ПО '!A21</f>
        <v>AQC-SFT-00016</v>
      </c>
      <c r="B229" s="21" t="str">
        <f>'[1]ПО '!D21</f>
        <v>ОC Альт СП / 4305 / Лицензия на право использования Альт СП Рабочая станция релиз 10 / бессрочная / ФСТЭК / kit / арх.64 бит</v>
      </c>
      <c r="C229" s="61"/>
      <c r="D229" s="23"/>
      <c r="E229" s="23"/>
      <c r="F229" s="23"/>
    </row>
    <row r="230" spans="1:6" ht="40.5" customHeight="1" outlineLevel="1" x14ac:dyDescent="0.25">
      <c r="A230" s="33" t="str">
        <f>'[1]ПО '!A22</f>
        <v>AQC-SFT-00017</v>
      </c>
      <c r="B230" s="21" t="str">
        <f>'[1]ПО '!D22</f>
        <v>ОC Альт СП / 4305 / Лицензия на право использования Альт СП Рабочая станция релиз 10 / бессрочная / ФСТЭК / арх.64 бит</v>
      </c>
      <c r="C230" s="61"/>
      <c r="D230" s="23"/>
      <c r="E230" s="23"/>
      <c r="F230" s="23"/>
    </row>
    <row r="231" spans="1:6" ht="57" customHeight="1" outlineLevel="1" x14ac:dyDescent="0.25">
      <c r="A231" s="33" t="str">
        <f>'[1]ПО '!A23</f>
        <v>AQC-SFT-00018</v>
      </c>
      <c r="B231" s="21" t="s">
        <v>88</v>
      </c>
      <c r="C231" s="61"/>
      <c r="D231" s="23"/>
      <c r="E231" s="23"/>
      <c r="F231" s="23"/>
    </row>
    <row r="232" spans="1:6" ht="53.25" customHeight="1" outlineLevel="1" x14ac:dyDescent="0.25">
      <c r="A232" s="33" t="str">
        <f>'[1]ПО '!A24</f>
        <v>AQC-SFT-00019</v>
      </c>
      <c r="B232" s="21" t="s">
        <v>89</v>
      </c>
      <c r="C232" s="62"/>
      <c r="D232" s="23"/>
      <c r="E232" s="23"/>
      <c r="F232" s="23"/>
    </row>
    <row r="233" spans="1:6" s="27" customFormat="1" ht="36" customHeight="1" outlineLevel="1" x14ac:dyDescent="0.25">
      <c r="A233" s="26" t="s">
        <v>90</v>
      </c>
      <c r="B233" s="25"/>
      <c r="C233" s="26"/>
      <c r="D233" s="26"/>
      <c r="E233" s="26"/>
      <c r="F233" s="26"/>
    </row>
    <row r="234" spans="1:6" ht="45" outlineLevel="1" x14ac:dyDescent="0.25">
      <c r="A234" s="33" t="s">
        <v>91</v>
      </c>
      <c r="B234" s="37" t="str">
        <f>'[1]ПО '!D25</f>
        <v xml:space="preserve">МойОфис Стандартный. Лицензия для использования ПО исключительно на устройстве с операционной системой семейства Linux, без ограничения срока действия, с правом на получение обновлений в течение 18 месяцев с даты передачи заказчику устройства с предустановленным ПО. </v>
      </c>
      <c r="C234" s="60" t="s">
        <v>92</v>
      </c>
      <c r="D234" s="38"/>
      <c r="E234" s="38"/>
      <c r="F234" s="38"/>
    </row>
    <row r="235" spans="1:6" ht="29.25" customHeight="1" outlineLevel="1" x14ac:dyDescent="0.25">
      <c r="A235" s="39" t="s">
        <v>93</v>
      </c>
      <c r="B235" s="40" t="str">
        <f>'[1]ПО '!D26</f>
        <v>Р7-Офис.Профессиональный (Десктопная версия), лицензия для разработчиков без ограничения срока действия</v>
      </c>
      <c r="C235" s="63"/>
      <c r="D235" s="41"/>
      <c r="E235" s="41"/>
      <c r="F235" s="41"/>
    </row>
    <row r="236" spans="1:6" x14ac:dyDescent="0.25">
      <c r="A236" s="1"/>
      <c r="B236" s="42"/>
      <c r="C236" s="3"/>
      <c r="D236" s="4"/>
      <c r="E236" s="4"/>
      <c r="F236" s="4"/>
    </row>
  </sheetData>
  <mergeCells count="9">
    <mergeCell ref="D172:F172"/>
    <mergeCell ref="C228:C232"/>
    <mergeCell ref="C234:C235"/>
    <mergeCell ref="D9:F9"/>
    <mergeCell ref="D146:F146"/>
    <mergeCell ref="D148:F148"/>
    <mergeCell ref="D149:F149"/>
    <mergeCell ref="D166:F166"/>
    <mergeCell ref="D168:F168"/>
  </mergeCells>
  <hyperlinks>
    <hyperlink ref="B1" location="'AQ Price'!A10" display="ПК" xr:uid="{DEF66350-4C29-45A4-9354-44E5619BD888}"/>
    <hyperlink ref="B2" location="'AQ Price'!A86" display="Моноблоки" xr:uid="{5302A4CE-BE55-46A0-8E4D-0B8B7E1DD9CD}"/>
    <hyperlink ref="B3" location="'AQ Price'!A144" display="Ноутбуки" xr:uid="{8CAB2AB6-D991-452E-9EB8-F1B62D59D0DA}"/>
    <hyperlink ref="B4" location="'AQ Price'!A194" display="Мониторы" xr:uid="{5D38A53E-DD59-4555-A18C-2EFB49063A99}"/>
    <hyperlink ref="B5" location="'AQ Price'!A197" display="Опции" xr:uid="{4C07F0A4-093A-4DC5-8C51-A5834568B13E}"/>
    <hyperlink ref="B6" location="'AQ Price'!A224" display="Операционные системы" xr:uid="{0C5F8E92-EB4A-489A-916E-E99DA6E1BF8C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60E3-302D-4408-8256-05F44416E0DE}">
  <sheetPr>
    <tabColor rgb="FF7030A0"/>
  </sheetPr>
  <dimension ref="A1:C289"/>
  <sheetViews>
    <sheetView showGridLines="0" zoomScale="80" zoomScaleNormal="80" zoomScaleSheetLayoutView="91" workbookViewId="0">
      <pane ySplit="9" topLeftCell="A10" activePane="bottomLeft" state="frozen"/>
      <selection activeCell="C47" sqref="C47"/>
      <selection pane="bottomLeft" activeCell="G15" sqref="G15"/>
    </sheetView>
  </sheetViews>
  <sheetFormatPr defaultColWidth="9.140625" defaultRowHeight="15" outlineLevelRow="1" x14ac:dyDescent="0.25"/>
  <cols>
    <col min="1" max="1" width="31.42578125" style="1" customWidth="1"/>
    <col min="2" max="2" width="142.7109375" style="42" customWidth="1"/>
    <col min="3" max="3" width="14.5703125" style="3" customWidth="1"/>
    <col min="4" max="16384" width="9.140625" style="47"/>
  </cols>
  <sheetData>
    <row r="1" spans="1:3" x14ac:dyDescent="0.25">
      <c r="B1" s="2" t="s">
        <v>94</v>
      </c>
    </row>
    <row r="2" spans="1:3" x14ac:dyDescent="0.25">
      <c r="B2" s="2" t="s">
        <v>95</v>
      </c>
    </row>
    <row r="3" spans="1:3" x14ac:dyDescent="0.25">
      <c r="A3" s="48" t="s">
        <v>2</v>
      </c>
      <c r="B3" s="2" t="s">
        <v>96</v>
      </c>
    </row>
    <row r="4" spans="1:3" x14ac:dyDescent="0.25">
      <c r="B4" s="2" t="s">
        <v>97</v>
      </c>
    </row>
    <row r="5" spans="1:3" x14ac:dyDescent="0.25">
      <c r="B5" s="2"/>
    </row>
    <row r="6" spans="1:3" x14ac:dyDescent="0.25">
      <c r="B6" s="2"/>
    </row>
    <row r="7" spans="1:3" x14ac:dyDescent="0.25">
      <c r="B7" s="7"/>
    </row>
    <row r="8" spans="1:3" s="49" customFormat="1" x14ac:dyDescent="0.25">
      <c r="A8" s="8"/>
      <c r="B8" s="9"/>
      <c r="C8" s="8"/>
    </row>
    <row r="9" spans="1:3" s="50" customFormat="1" x14ac:dyDescent="0.25">
      <c r="A9" s="14" t="str">
        <f>[1]B760M!A6</f>
        <v>UID</v>
      </c>
      <c r="B9" s="14" t="str">
        <f>[1]B760M!D6</f>
        <v>Наименование</v>
      </c>
      <c r="C9" s="14" t="s">
        <v>8</v>
      </c>
    </row>
    <row r="10" spans="1:3" s="49" customFormat="1" ht="35.1" customHeight="1" x14ac:dyDescent="0.25">
      <c r="A10" s="8" t="s">
        <v>94</v>
      </c>
      <c r="B10" s="9"/>
      <c r="C10" s="8"/>
    </row>
    <row r="11" spans="1:3" s="51" customFormat="1" ht="35.1" customHeight="1" outlineLevel="1" x14ac:dyDescent="0.25">
      <c r="A11" s="16" t="s">
        <v>98</v>
      </c>
      <c r="B11" s="17"/>
      <c r="C11" s="18"/>
    </row>
    <row r="12" spans="1:3" ht="35.1" customHeight="1" outlineLevel="1" x14ac:dyDescent="0.25">
      <c r="A12" s="52" t="s">
        <v>99</v>
      </c>
      <c r="B12" s="21" t="str">
        <f>'[1]АРМ (ПК без мониторов) '!D17</f>
        <v>АРМ Aquarius Pro K720 (АМПР.466539.253) (SFF_300/i3_12100/DDR5_8G/SSD256_M2_NVMe/WiFi/BT/KM)</v>
      </c>
      <c r="C12" s="22">
        <v>881</v>
      </c>
    </row>
    <row r="13" spans="1:3" ht="35.1" customHeight="1" outlineLevel="1" x14ac:dyDescent="0.25">
      <c r="A13" s="52" t="s">
        <v>100</v>
      </c>
      <c r="B13" s="21" t="str">
        <f>'[1]АРМ (ПК без мониторов) '!D35</f>
        <v>АРМ Aquarius Pro K720 (АМПР.466539.253) (SFF_300/i5_12400/DDR5_8G/SSD256_M2_NVMe/WiFi/BT/KM)</v>
      </c>
      <c r="C13" s="22">
        <v>983</v>
      </c>
    </row>
    <row r="14" spans="1:3" ht="35.1" customHeight="1" outlineLevel="1" x14ac:dyDescent="0.25">
      <c r="A14" s="52" t="s">
        <v>101</v>
      </c>
      <c r="B14" s="21" t="str">
        <f>'[1]АРМ (ПК без мониторов) '!D53</f>
        <v>АРМ Aquarius Pro K720 (АМПР.466539.253) (SFF_300/i5_12400/DDR5_8G/SSD512_M2_NVMe/WiFi/BT/KM)</v>
      </c>
      <c r="C14" s="22">
        <v>1008</v>
      </c>
    </row>
    <row r="15" spans="1:3" ht="35.1" customHeight="1" outlineLevel="1" x14ac:dyDescent="0.25">
      <c r="A15" s="52" t="s">
        <v>102</v>
      </c>
      <c r="B15" s="21" t="str">
        <f>'[1]АРМ (ПК без мониторов) '!D72</f>
        <v>АРМ Aquarius Pro K720 (АМПР.466539.253) (SFF_300/i3_13100/DDR5_8G/SSD256_M2_NVMe/WiFi/BT/KM)</v>
      </c>
      <c r="C15" s="22">
        <v>967</v>
      </c>
    </row>
    <row r="16" spans="1:3" ht="35.1" customHeight="1" outlineLevel="1" x14ac:dyDescent="0.25">
      <c r="A16" s="52" t="s">
        <v>103</v>
      </c>
      <c r="B16" s="21" t="str">
        <f>'[1]АРМ (ПК без мониторов) '!D90</f>
        <v>АРМ Aquarius Pro K720 (АМПР.466539.253) (SFF_300/i5_13400/DDR5_8G/SSD256_M2_NVMe/WiFi/BT/KM)</v>
      </c>
      <c r="C16" s="22">
        <v>1110</v>
      </c>
    </row>
    <row r="17" spans="1:3" ht="35.1" customHeight="1" outlineLevel="1" x14ac:dyDescent="0.25">
      <c r="A17" s="52" t="s">
        <v>104</v>
      </c>
      <c r="B17" s="21" t="str">
        <f>'[1]АРМ (ПК без мониторов) '!D108</f>
        <v>АРМ Aquarius Pro K720 (АМПР.466539.253) (SFF_300/i5_13400/DDR5_8G/SSD512_M2_NVMe/WiFi/BT/KM)</v>
      </c>
      <c r="C17" s="22">
        <v>1135</v>
      </c>
    </row>
    <row r="18" spans="1:3" ht="35.1" customHeight="1" outlineLevel="1" x14ac:dyDescent="0.25">
      <c r="A18" s="52" t="s">
        <v>105</v>
      </c>
      <c r="B18" s="21" t="str">
        <f>'[1]АРМ (ПК без мониторов) '!D127</f>
        <v>АРМ Aquarius Pro K720 (АМПР.466539.253) (SFF_300/i3_14100/DDR5_8G/SSD512_M2_NVMe/WiFi/BT/KM)</v>
      </c>
      <c r="C18" s="22">
        <v>994</v>
      </c>
    </row>
    <row r="19" spans="1:3" ht="35.1" customHeight="1" outlineLevel="1" x14ac:dyDescent="0.25">
      <c r="A19" s="52" t="s">
        <v>106</v>
      </c>
      <c r="B19" s="21" t="str">
        <f>'[1]АРМ (ПК без мониторов) '!D145</f>
        <v>АРМ Aquarius Pro K720 (АМПР.466539.253) (SFF_300/i5_14400/DDR5_16G/SSD512_M2_NVMe/WiFi/BT/KM)</v>
      </c>
      <c r="C19" s="22">
        <v>1274</v>
      </c>
    </row>
    <row r="20" spans="1:3" s="51" customFormat="1" ht="35.1" customHeight="1" outlineLevel="1" x14ac:dyDescent="0.25">
      <c r="A20" s="16" t="s">
        <v>11</v>
      </c>
      <c r="B20" s="17"/>
      <c r="C20" s="18"/>
    </row>
    <row r="21" spans="1:3" ht="35.1" customHeight="1" outlineLevel="1" x14ac:dyDescent="0.25">
      <c r="A21" s="52" t="s">
        <v>107</v>
      </c>
      <c r="B21" s="21" t="str">
        <f>'[1]АРМ (ПК без мониторов) '!D164</f>
        <v>АРМ Aquarius Pro K730 (АМПР.466539.244) (SFF_300/i3_12100/DDR5_8G/SSD256_M2_NVMe/WiFi/BT/KM)</v>
      </c>
      <c r="C21" s="22">
        <v>836</v>
      </c>
    </row>
    <row r="22" spans="1:3" ht="35.1" customHeight="1" outlineLevel="1" x14ac:dyDescent="0.25">
      <c r="A22" s="52" t="s">
        <v>108</v>
      </c>
      <c r="B22" s="21" t="str">
        <f>'[1]АРМ (ПК без мониторов) '!D183</f>
        <v>АРМ Aquarius Pro K730 (АМПР.466539.244) (SFF_300/i5_12400/DDR5_8G/SSD256_M2_NVMe/WiFi/BT/KM)</v>
      </c>
      <c r="C22" s="22">
        <v>919</v>
      </c>
    </row>
    <row r="23" spans="1:3" ht="35.1" customHeight="1" outlineLevel="1" x14ac:dyDescent="0.25">
      <c r="A23" s="52" t="s">
        <v>109</v>
      </c>
      <c r="B23" s="21" t="str">
        <f>'[1]АРМ (ПК без мониторов) '!D200</f>
        <v>АРМ Aquarius Pro K730 (АМПР.466539.244) (SFF_300/i5_12400/DDR5_8G/SSD512_M2_NVMe/WiFi/BT/KM)</v>
      </c>
      <c r="C23" s="22">
        <v>944</v>
      </c>
    </row>
    <row r="24" spans="1:3" ht="35.1" customHeight="1" outlineLevel="1" x14ac:dyDescent="0.25">
      <c r="A24" s="52" t="s">
        <v>110</v>
      </c>
      <c r="B24" s="21" t="str">
        <f>'[1]АРМ (ПК без мониторов) '!D218</f>
        <v>АРМ Aquarius Pro K730 (АМПР.466539.244) (SFF_300/i3_13100/DDR5_8G/SSD256_M2_NVMe/WiFi/BT/KM)</v>
      </c>
      <c r="C24" s="22">
        <v>903</v>
      </c>
    </row>
    <row r="25" spans="1:3" ht="35.1" customHeight="1" outlineLevel="1" x14ac:dyDescent="0.25">
      <c r="A25" s="52" t="s">
        <v>111</v>
      </c>
      <c r="B25" s="21" t="str">
        <f>'[1]АРМ (ПК без мониторов) '!D235</f>
        <v>АРМ Aquarius Pro K730 (АМПР.466539.244) (SFF_300/i5_13400/DDR5_8G/SSD256_M2_NVMe/WiFi/BT/KM)</v>
      </c>
      <c r="C25" s="22">
        <v>1046</v>
      </c>
    </row>
    <row r="26" spans="1:3" ht="35.1" customHeight="1" outlineLevel="1" x14ac:dyDescent="0.25">
      <c r="A26" s="52" t="s">
        <v>112</v>
      </c>
      <c r="B26" s="21" t="str">
        <f>'[1]АРМ (ПК без мониторов) '!D252</f>
        <v>АРМ Aquarius Pro K730(АМПР.466539.244) (SFF_300/i5_13400/DDR5_8G/SSD512_M2_NVMe/WiFi/BT/KM)</v>
      </c>
      <c r="C26" s="22">
        <v>1071</v>
      </c>
    </row>
    <row r="27" spans="1:3" ht="35.1" customHeight="1" outlineLevel="1" x14ac:dyDescent="0.25">
      <c r="A27" s="52" t="s">
        <v>113</v>
      </c>
      <c r="B27" s="21" t="str">
        <f>'[1]АРМ (ПК без мониторов) '!D270</f>
        <v>АРМ Aquarius Pro K730 (АМПР.466539.244) (SFF_300/i3_14100/DDR5_8G/SSD256_M2_NVMe/WiFi/BT/KM)</v>
      </c>
      <c r="C27" s="22">
        <v>905</v>
      </c>
    </row>
    <row r="28" spans="1:3" ht="35.1" customHeight="1" outlineLevel="1" x14ac:dyDescent="0.25">
      <c r="A28" s="52" t="s">
        <v>114</v>
      </c>
      <c r="B28" s="21" t="str">
        <f>'[1]АРМ (ПК без мониторов) '!D287</f>
        <v>АРМ Aquarius Pro K730 (АМПР.466539.244)) (SFF_300/i5_14400/DDR5_16G/SSD512_M2_NVMe/WiFi/BT/KM)</v>
      </c>
      <c r="C28" s="22">
        <v>1210</v>
      </c>
    </row>
    <row r="29" spans="1:3" s="51" customFormat="1" ht="35.1" customHeight="1" outlineLevel="1" x14ac:dyDescent="0.25">
      <c r="A29" s="16" t="s">
        <v>12</v>
      </c>
      <c r="B29" s="17"/>
      <c r="C29" s="18"/>
    </row>
    <row r="30" spans="1:3" ht="35.1" customHeight="1" outlineLevel="1" x14ac:dyDescent="0.25">
      <c r="A30" s="52" t="s">
        <v>115</v>
      </c>
      <c r="B30" s="21" t="str">
        <f>'[1]АРМ (ПК без мониторов) '!D307</f>
        <v>АРМ Aquarius Pro K760 (АМПР.466539.245) (MNT/PSU400/i3_12100/DDR5_8G/SSD256_M2_NVMe/WiFi/BT/KM)</v>
      </c>
      <c r="C30" s="22">
        <v>834</v>
      </c>
    </row>
    <row r="31" spans="1:3" ht="35.1" customHeight="1" outlineLevel="1" x14ac:dyDescent="0.25">
      <c r="A31" s="52" t="s">
        <v>116</v>
      </c>
      <c r="B31" s="21" t="str">
        <f>'[1]АРМ (ПК без мониторов) '!D325</f>
        <v>АРМ Aquarius Pro K760 (АМПР.466539.245) (MNT/PSU400/i5_12400/DDR5_8G/SSD256_M2_NVMe/WiFi/BT/KM)</v>
      </c>
      <c r="C31" s="22">
        <v>936</v>
      </c>
    </row>
    <row r="32" spans="1:3" ht="35.1" customHeight="1" outlineLevel="1" x14ac:dyDescent="0.25">
      <c r="A32" s="52" t="s">
        <v>117</v>
      </c>
      <c r="B32" s="21" t="str">
        <f>'[1]АРМ (ПК без мониторов) '!D343</f>
        <v>АРМ Aquarius Pro K760 (АМПР.466539.245) (MNT/PSU400/i5_12400/DDR5_8G/SSD512_M2_NVMe/WiFi/BT/KM)</v>
      </c>
      <c r="C32" s="22">
        <v>961</v>
      </c>
    </row>
    <row r="33" spans="1:3" ht="35.1" customHeight="1" outlineLevel="1" x14ac:dyDescent="0.25">
      <c r="A33" s="52" t="s">
        <v>118</v>
      </c>
      <c r="B33" s="21" t="str">
        <f>'[1]АРМ (ПК без мониторов) '!D362</f>
        <v>АРМ Aquarius Pro K760 (АМПР.466539.245) (MNT/PSU400/i5_12400/DDR5_8G/SSD256_M2_NVMe/WiFi/BT/KM)</v>
      </c>
      <c r="C33" s="22">
        <v>936</v>
      </c>
    </row>
    <row r="34" spans="1:3" ht="35.1" customHeight="1" outlineLevel="1" x14ac:dyDescent="0.25">
      <c r="A34" s="52" t="s">
        <v>119</v>
      </c>
      <c r="B34" s="21" t="str">
        <f>'[1]АРМ (ПК без мониторов) '!D380</f>
        <v>АРМ Aquarius Pro K760 (АМПР.466539.245) (MNT/PSU400/i5_13400/DDR5_8G/SSD256_M2_NVMe/WiFi/BT/KM)</v>
      </c>
      <c r="C34" s="22">
        <v>1063</v>
      </c>
    </row>
    <row r="35" spans="1:3" ht="35.1" customHeight="1" outlineLevel="1" x14ac:dyDescent="0.25">
      <c r="A35" s="52" t="s">
        <v>120</v>
      </c>
      <c r="B35" s="21" t="str">
        <f>'[1]АРМ (ПК без мониторов) '!D398</f>
        <v>АРМ Aquarius Pro K760 (АМПР.466539.245) (MNT/PSU400/i5_13400/DDR5_8G/SSD512_M2_NVMe/WiFi/BT/KM)</v>
      </c>
      <c r="C35" s="22">
        <v>1088</v>
      </c>
    </row>
    <row r="36" spans="1:3" ht="35.1" customHeight="1" outlineLevel="1" x14ac:dyDescent="0.25">
      <c r="A36" s="52" t="s">
        <v>121</v>
      </c>
      <c r="B36" s="21" t="str">
        <f>'[1]АРМ (ПК без мониторов) '!D417</f>
        <v>АРМ Aquarius Pro K760 (АМПР.466539.245)(MNT/PSU400/i3_14100/DDR5_8G/SSD512_M2_NVMe/WiFi/BT/KM)</v>
      </c>
      <c r="C36" s="22">
        <v>947</v>
      </c>
    </row>
    <row r="37" spans="1:3" ht="35.1" customHeight="1" outlineLevel="1" x14ac:dyDescent="0.25">
      <c r="A37" s="52" t="s">
        <v>122</v>
      </c>
      <c r="B37" s="21" t="str">
        <f>'[1]АРМ (ПК без мониторов) '!D435</f>
        <v>АРМ Aquarius Pro K760 (АМПР.466539.245) (MNT/PSU400/i5_14400/DDR5_16G/SSD512_M2_NVMe/WiFi/BT/KM)</v>
      </c>
      <c r="C37" s="22">
        <v>1227</v>
      </c>
    </row>
    <row r="38" spans="1:3" ht="35.1" customHeight="1" outlineLevel="1" x14ac:dyDescent="0.25">
      <c r="A38" s="52" t="s">
        <v>123</v>
      </c>
      <c r="B38" s="21" t="str">
        <f>'[1]АРМ (ПК без мониторов) '!D453</f>
        <v>АРМ Aquarius Pro K760 (АМПР.466539.245) (MNT/PSU400/i7_12700/DDR5_16G/SSD512_M2_NVMe/WiFi/BT/KM)</v>
      </c>
      <c r="C38" s="22">
        <v>1326</v>
      </c>
    </row>
    <row r="39" spans="1:3" ht="35.1" customHeight="1" outlineLevel="1" x14ac:dyDescent="0.25">
      <c r="A39" s="52" t="s">
        <v>124</v>
      </c>
      <c r="B39" s="21" t="str">
        <f>'[1]АРМ (ПК без мониторов) '!D471</f>
        <v>АРМ Aquarius Pro K760 (АМПР.466539.245) (MNT/PSU400/i7_13700/DDR5_16G/SSD512_M2_NVMe/WiFi/BT/KM)</v>
      </c>
      <c r="C39" s="22">
        <v>1717</v>
      </c>
    </row>
    <row r="40" spans="1:3" ht="35.1" customHeight="1" outlineLevel="1" x14ac:dyDescent="0.25">
      <c r="A40" s="52" t="s">
        <v>125</v>
      </c>
      <c r="B40" s="21" t="str">
        <f>'[1]АРМ (ПК без мониторов) '!D489</f>
        <v>АРМ Aquarius Pro K760 (АМПР.466539.245) (MNT/PSU400/i7_14700/DDR5_16G/SSD512_M2_NVMe/WiFi/BT/KM)</v>
      </c>
      <c r="C40" s="22">
        <v>1865</v>
      </c>
    </row>
    <row r="41" spans="1:3" s="51" customFormat="1" ht="35.1" customHeight="1" outlineLevel="1" x14ac:dyDescent="0.25">
      <c r="A41" s="16" t="s">
        <v>13</v>
      </c>
      <c r="B41" s="17"/>
      <c r="C41" s="18"/>
    </row>
    <row r="42" spans="1:3" ht="35.1" customHeight="1" outlineLevel="1" x14ac:dyDescent="0.25">
      <c r="A42" s="52" t="s">
        <v>126</v>
      </c>
      <c r="B42" s="21" t="str">
        <f>'[1]АРМ (ПК без мониторов) '!D508</f>
        <v>АРМ Aquarius Pro K790 (АМПР.466539.248) (MDT/PSU400/i5_12400/DDR5_8G/SSD256_M2_NVMe/WiFi/BT/KM)</v>
      </c>
      <c r="C42" s="22">
        <v>940</v>
      </c>
    </row>
    <row r="43" spans="1:3" ht="35.1" customHeight="1" outlineLevel="1" x14ac:dyDescent="0.25">
      <c r="A43" s="52" t="s">
        <v>127</v>
      </c>
      <c r="B43" s="21" t="str">
        <f>'[1]АРМ (ПК без мониторов) '!D526</f>
        <v>АРМ Aquarius Pro K790 (АМПР.466539.248) (MDT/PSU400/i5_12400/DDR5_8G/SSD512_M2_NVMe/WiFi/BT/KM)</v>
      </c>
      <c r="C43" s="22">
        <v>965</v>
      </c>
    </row>
    <row r="44" spans="1:3" ht="35.1" customHeight="1" outlineLevel="1" x14ac:dyDescent="0.25">
      <c r="A44" s="52" t="s">
        <v>128</v>
      </c>
      <c r="B44" s="21" t="str">
        <f>'[1]АРМ (ПК без мониторов) '!D544</f>
        <v>АРМ Aquarius Pro K790 (АМПР.466539.248) (MDT/PSU400/i7_12700/DDR5_16G/SSD512_M2_NVMe/WiFi/BT/KM)</v>
      </c>
      <c r="C44" s="22">
        <v>1308</v>
      </c>
    </row>
    <row r="45" spans="1:3" ht="35.1" customHeight="1" outlineLevel="1" x14ac:dyDescent="0.25">
      <c r="A45" s="52" t="s">
        <v>129</v>
      </c>
      <c r="B45" s="21" t="str">
        <f>'[1]АРМ (ПК без мониторов) '!D562</f>
        <v>АРМ Aquarius Pro K790 (АМПР.466539.248) (MDT/PSU400/i5_13400/DDR5_8G/SSD256_M2_NVMe/WiFi/BT/KM)</v>
      </c>
      <c r="C45" s="22">
        <v>1067</v>
      </c>
    </row>
    <row r="46" spans="1:3" ht="35.1" customHeight="1" outlineLevel="1" x14ac:dyDescent="0.25">
      <c r="A46" s="52" t="s">
        <v>130</v>
      </c>
      <c r="B46" s="21" t="str">
        <f>'[1]АРМ (ПК без мониторов) '!D580</f>
        <v>АРМ Aquarius Pro K790 (АМПР.466539.248) (MDT/PSU400/i5_13400/DDR5_8G/SSD512_M2_NVMe/WiFi/BT/KM)</v>
      </c>
      <c r="C46" s="22">
        <v>1092</v>
      </c>
    </row>
    <row r="47" spans="1:3" ht="35.1" customHeight="1" outlineLevel="1" x14ac:dyDescent="0.25">
      <c r="A47" s="52" t="s">
        <v>131</v>
      </c>
      <c r="B47" s="21" t="str">
        <f>'[1]АРМ (ПК без мониторов) '!D598</f>
        <v>АРМ Aquarius Pro K790 (АМПР.466539.248) (MDT/PSU400/i7_13700/DDR5_16G/SSD512_M2_NVMe/WiFi/BT/KM)</v>
      </c>
      <c r="C47" s="22">
        <v>1640</v>
      </c>
    </row>
    <row r="48" spans="1:3" ht="35.1" customHeight="1" outlineLevel="1" x14ac:dyDescent="0.25">
      <c r="A48" s="52" t="s">
        <v>132</v>
      </c>
      <c r="B48" s="21" t="str">
        <f>'[1]АРМ (ПК без мониторов) '!D617</f>
        <v>АРМ Aquarius Pro K790 (АМПР.466539.248) (MDT/PSU400/i5_14400/DDR5_16G/SSD512_M2_NVMe/WiFi/BT/KM)</v>
      </c>
      <c r="C48" s="22">
        <v>1231</v>
      </c>
    </row>
    <row r="49" spans="1:3" ht="35.1" customHeight="1" outlineLevel="1" x14ac:dyDescent="0.25">
      <c r="A49" s="52" t="s">
        <v>133</v>
      </c>
      <c r="B49" s="21" t="str">
        <f>'[1]АРМ (ПК без мониторов) '!D635</f>
        <v>АРМ Aquarius Pro K790 (АМПР.466539.248) (MDT/PSU400/i7_14700/DDR5_16G/SSD512_M2_NVMe/WiFi/BT/KM)</v>
      </c>
      <c r="C49" s="22">
        <v>1723</v>
      </c>
    </row>
    <row r="50" spans="1:3" s="51" customFormat="1" ht="35.1" customHeight="1" outlineLevel="1" x14ac:dyDescent="0.25">
      <c r="A50" s="16" t="s">
        <v>14</v>
      </c>
      <c r="B50" s="17"/>
      <c r="C50" s="18"/>
    </row>
    <row r="51" spans="1:3" ht="35.1" customHeight="1" outlineLevel="1" x14ac:dyDescent="0.25">
      <c r="A51" s="52" t="s">
        <v>134</v>
      </c>
      <c r="B51" s="21" t="str">
        <f>'[1]АРМ (ПК без мониторов) '!D838</f>
        <v>АРМ Aquarius Pro P30 K50 USFF1 (АМПР.466539.139) (USFF/i3_12100/DDR4_8G/SSD256_M2_NVMe/WiFi/BT/KM)</v>
      </c>
      <c r="C51" s="22">
        <v>967</v>
      </c>
    </row>
    <row r="52" spans="1:3" ht="35.1" customHeight="1" outlineLevel="1" x14ac:dyDescent="0.25">
      <c r="A52" s="52" t="s">
        <v>135</v>
      </c>
      <c r="B52" s="21" t="str">
        <f>'[1]АРМ (ПК без мониторов) '!D855</f>
        <v>АРМ Aquarius Pro P30 K50 USFF1 (АМПР.466539.139) (USFF/i5_12400/DDR4_8G/SSD256_M2_NVMe/WiFi/BT/KM)</v>
      </c>
      <c r="C52" s="22">
        <v>1069</v>
      </c>
    </row>
    <row r="53" spans="1:3" ht="35.1" customHeight="1" outlineLevel="1" x14ac:dyDescent="0.25">
      <c r="A53" s="52" t="s">
        <v>136</v>
      </c>
      <c r="B53" s="21" t="str">
        <f>'[1]АРМ (ПК без мониторов) '!D871</f>
        <v>АРМ Aquarius Pro P30 K50 USFF1 (АМПР.466539.139) (USFF/i5_12400/DDR4_8G/SSD512_M2_NVMe/WiFi/BT/KM)</v>
      </c>
      <c r="C53" s="22">
        <v>1094</v>
      </c>
    </row>
    <row r="54" spans="1:3" ht="35.1" customHeight="1" outlineLevel="1" x14ac:dyDescent="0.25">
      <c r="A54" s="52" t="s">
        <v>137</v>
      </c>
      <c r="B54" s="21" t="str">
        <f>'[1]АРМ (ПК без мониторов) '!D888</f>
        <v>АРМ Aquarius Pro P30 K50 USFF1 (АМПР.466539.139) (USFF/i7_12700/DDR4_16G/SSD512_M2_NVMe/WiFi/BT/KM)</v>
      </c>
      <c r="C54" s="22">
        <v>1446</v>
      </c>
    </row>
    <row r="55" spans="1:3" ht="35.1" customHeight="1" outlineLevel="1" x14ac:dyDescent="0.25">
      <c r="A55" s="52" t="s">
        <v>138</v>
      </c>
      <c r="B55" s="21" t="str">
        <f>'[1]АРМ (ПК без мониторов) '!D905</f>
        <v>АРМ Aquarius Pro P30 K50 USFF1 (АМПР.466539.139) (USFF/i3_13100/DDR4_8G/SSD256_M2_NVMe/WiFi/BT/KM)</v>
      </c>
      <c r="C55" s="22">
        <v>1052</v>
      </c>
    </row>
    <row r="56" spans="1:3" ht="35.1" customHeight="1" outlineLevel="1" x14ac:dyDescent="0.25">
      <c r="A56" s="52" t="s">
        <v>139</v>
      </c>
      <c r="B56" s="21" t="str">
        <f>'[1]АРМ (ПК без мониторов) '!D922</f>
        <v>АРМ Aquarius Pro P30 K50 USFF1 (АМПР.466539.139) (USFF/i5_13400/DDR4_8G/SSD256_M2_NVMe/WiFi/BT/KM)</v>
      </c>
      <c r="C56" s="22">
        <v>1196</v>
      </c>
    </row>
    <row r="57" spans="1:3" ht="35.1" customHeight="1" outlineLevel="1" x14ac:dyDescent="0.25">
      <c r="A57" s="52" t="s">
        <v>140</v>
      </c>
      <c r="B57" s="21" t="str">
        <f>'[1]АРМ (ПК без мониторов) '!D939</f>
        <v>АРМ Aquarius Pro P30 K50 USFF1 (АМПР.466539.139) (USFF/i5_13400/DDR4_8G/SSD512_M2_NVMe/WiFi/BT/KM)</v>
      </c>
      <c r="C57" s="22">
        <v>1221</v>
      </c>
    </row>
    <row r="58" spans="1:3" ht="35.1" customHeight="1" outlineLevel="1" x14ac:dyDescent="0.25">
      <c r="A58" s="52" t="s">
        <v>141</v>
      </c>
      <c r="B58" s="21" t="str">
        <f>'[1]АРМ (ПК без мониторов) '!D956</f>
        <v>АРМ Aquarius Pro P30 K50 USFF1 (АМПР.466539.139) (USFF/i7_13700/DDR4_16G/SSD512_M2_NVMe/WiFi/BT/KM)</v>
      </c>
      <c r="C58" s="22">
        <v>1777</v>
      </c>
    </row>
    <row r="59" spans="1:3" ht="35.1" customHeight="1" outlineLevel="1" x14ac:dyDescent="0.25">
      <c r="A59" s="52" t="s">
        <v>142</v>
      </c>
      <c r="B59" s="21" t="str">
        <f>'[1]АРМ (ПК без мониторов) '!D973</f>
        <v>АРМ Aquarius Pro P30 K50 USFF1 (АМПР.466539.139) (USFF/i3_14100/DDR4_8G/SSD512_M2_NVMe/WiFi/BT/KM)</v>
      </c>
      <c r="C59" s="22">
        <v>1080</v>
      </c>
    </row>
    <row r="60" spans="1:3" ht="35.1" customHeight="1" outlineLevel="1" x14ac:dyDescent="0.25">
      <c r="A60" s="52" t="s">
        <v>143</v>
      </c>
      <c r="B60" s="21" t="str">
        <f>'[1]АРМ (ПК без мониторов) '!D990</f>
        <v>АРМ Aquarius Pro P30 K50 USFF1 (АМПР.466539.139) (USFF/i5_14400/DDR4_16G/SSD512_M2_NVMe/WiFi/BT/KM)</v>
      </c>
      <c r="C60" s="22">
        <v>1368</v>
      </c>
    </row>
    <row r="61" spans="1:3" ht="35.1" customHeight="1" outlineLevel="1" x14ac:dyDescent="0.25">
      <c r="A61" s="52" t="s">
        <v>144</v>
      </c>
      <c r="B61" s="21" t="str">
        <f>'[1]АРМ (ПК без мониторов) '!D1007</f>
        <v>АРМ Aquarius Pro P30 K50 USFF1 (АМПР.466539.139) (USFF/i7_14700/DDR4_16G/SSD512_M2_NVMe/WiFi/BT/KM)</v>
      </c>
      <c r="C61" s="22">
        <v>1860</v>
      </c>
    </row>
    <row r="62" spans="1:3" s="51" customFormat="1" ht="35.1" customHeight="1" outlineLevel="1" x14ac:dyDescent="0.25">
      <c r="A62" s="16" t="s">
        <v>15</v>
      </c>
      <c r="B62" s="17"/>
      <c r="C62" s="18"/>
    </row>
    <row r="63" spans="1:3" ht="35.1" customHeight="1" outlineLevel="1" x14ac:dyDescent="0.25">
      <c r="A63" s="52" t="s">
        <v>145</v>
      </c>
      <c r="B63" s="21" t="str">
        <f>'[1]АРМ (ПК без мониторов) '!D1026</f>
        <v>АРМ Aquarius Pro P30 K51 USFF1 (АМПР.466539.148) (USFF/i3_12100/DDR4_8G/SSD256_M2_NVMe/WiFi/BT/KM)</v>
      </c>
      <c r="C63" s="22">
        <v>913</v>
      </c>
    </row>
    <row r="64" spans="1:3" ht="35.1" customHeight="1" outlineLevel="1" x14ac:dyDescent="0.25">
      <c r="A64" s="52" t="s">
        <v>146</v>
      </c>
      <c r="B64" s="21" t="str">
        <f>'[1]АРМ (ПК без мониторов) '!D1044</f>
        <v>АРМ Aquarius Pro P30 K51 USFF1 (АМПР.466539.148) (USFF/i5_12400/DDR4_8G/SSD256_M2_NVMe/WiFi/BT/KM)</v>
      </c>
      <c r="C64" s="22">
        <v>1014</v>
      </c>
    </row>
    <row r="65" spans="1:3" ht="35.1" customHeight="1" outlineLevel="1" x14ac:dyDescent="0.25">
      <c r="A65" s="52" t="s">
        <v>147</v>
      </c>
      <c r="B65" s="21" t="str">
        <f>'[1]АРМ (ПК без мониторов) '!D1060</f>
        <v>АРМ Aquarius Pro P30 K51 USFF1 (АМПР.466539.148) (USFF/i5_12400/DDR4_8G/SSD512_M2_NVMe/WiFi/BT/KM)</v>
      </c>
      <c r="C65" s="22">
        <v>1039</v>
      </c>
    </row>
    <row r="66" spans="1:3" ht="35.1" customHeight="1" outlineLevel="1" x14ac:dyDescent="0.25">
      <c r="A66" s="52" t="s">
        <v>148</v>
      </c>
      <c r="B66" s="21" t="str">
        <f>'[1]АРМ (ПК без мониторов) '!D1078</f>
        <v>АРМ Aquarius Pro P30 K51 USFF1 (АМПР.466539.148) (USFF/i7_12700/DDR4_16G/SSD512_M2_NVMe/WiFi/BT/KM)</v>
      </c>
      <c r="C66" s="22">
        <v>1392</v>
      </c>
    </row>
    <row r="67" spans="1:3" ht="35.1" customHeight="1" outlineLevel="1" x14ac:dyDescent="0.25">
      <c r="A67" s="52" t="s">
        <v>149</v>
      </c>
      <c r="B67" s="21" t="str">
        <f>'[1]АРМ (ПК без мониторов) '!D1096</f>
        <v>АРМ Aquarius Pro P30 K51 USFF1 (АМПР.466539.148) (USFF/i3_13100/DDR4_8G/SSD256_M2_NVMe/WiFi/BT/KM)</v>
      </c>
      <c r="C67" s="22">
        <v>998</v>
      </c>
    </row>
    <row r="68" spans="1:3" ht="35.1" customHeight="1" outlineLevel="1" x14ac:dyDescent="0.25">
      <c r="A68" s="52" t="s">
        <v>150</v>
      </c>
      <c r="B68" s="21" t="str">
        <f>'[1]АРМ (ПК без мониторов) '!D1114</f>
        <v>АРМ Aquarius Pro P30 K51 USFF1 (АМПР.466539.148) (USFF/i5_13400/DDR4_8G/SSD256_M2_NVMe/WiFi/BT/KM)</v>
      </c>
      <c r="C68" s="22">
        <v>1141</v>
      </c>
    </row>
    <row r="69" spans="1:3" ht="35.1" customHeight="1" outlineLevel="1" x14ac:dyDescent="0.25">
      <c r="A69" s="52" t="s">
        <v>151</v>
      </c>
      <c r="B69" s="21" t="str">
        <f>'[1]АРМ (ПК без мониторов) '!D1130</f>
        <v>АРМ Aquarius Pro P30 K51 USFF1 (АМПР.466539.148) (USFF/i5_13400/DDR4_8G/SSD512_M2_NVMe/WiFi/BT/KM)</v>
      </c>
      <c r="C69" s="22">
        <v>1166</v>
      </c>
    </row>
    <row r="70" spans="1:3" ht="35.1" customHeight="1" outlineLevel="1" x14ac:dyDescent="0.25">
      <c r="A70" s="52" t="s">
        <v>152</v>
      </c>
      <c r="B70" s="21" t="str">
        <f>'[1]АРМ (ПК без мониторов) '!D1150</f>
        <v>АРМ Aquarius Pro P30 K51 USFF1 (АМПР.466539.148) (USFF/i7_13700/DDR4_16G/SSD512_M2_NVMe/WiFi/BT/KM)</v>
      </c>
      <c r="C70" s="22">
        <v>1723</v>
      </c>
    </row>
    <row r="71" spans="1:3" ht="35.1" customHeight="1" outlineLevel="1" x14ac:dyDescent="0.25">
      <c r="A71" s="52" t="s">
        <v>153</v>
      </c>
      <c r="B71" s="21" t="str">
        <f>'[1]АРМ (ПК без мониторов) '!D1168</f>
        <v>АРМ Aquarius Pro P30 K51 USFF1 (АМПР.466539.148) (USFF/i3_14100/DDR4_8G/SSD512_M2_NVMe/WiFi/BT/KM)</v>
      </c>
      <c r="C71" s="22">
        <v>1026</v>
      </c>
    </row>
    <row r="72" spans="1:3" ht="35.1" customHeight="1" outlineLevel="1" x14ac:dyDescent="0.25">
      <c r="A72" s="52" t="s">
        <v>154</v>
      </c>
      <c r="B72" s="21" t="str">
        <f>'[1]АРМ (ПК без мониторов) '!D1186</f>
        <v>АРМ Aquarius Pro P30 K51 USFF1 (АМПР.466539.148) (USFF/i5_14400/DDR4_16G/SSD512_M2_NVMe/WiFi/BT/KM)</v>
      </c>
      <c r="C72" s="22">
        <v>1314</v>
      </c>
    </row>
    <row r="73" spans="1:3" ht="35.1" customHeight="1" outlineLevel="1" x14ac:dyDescent="0.25">
      <c r="A73" s="52" t="s">
        <v>155</v>
      </c>
      <c r="B73" s="21" t="str">
        <f>'[1]АРМ (ПК без мониторов) '!D1204</f>
        <v>АРМ Aquarius Pro P30 K51 USFF1 (АМПР.466539.148) (USFF/i7_14700/DDR4_16G/SSD256_M2_NVMe/WiFi/BT/KM)</v>
      </c>
      <c r="C73" s="22">
        <v>1781</v>
      </c>
    </row>
    <row r="74" spans="1:3" s="51" customFormat="1" ht="35.1" customHeight="1" outlineLevel="1" x14ac:dyDescent="0.25">
      <c r="A74" s="16" t="s">
        <v>16</v>
      </c>
      <c r="B74" s="17"/>
      <c r="C74" s="18"/>
    </row>
    <row r="75" spans="1:3" ht="35.1" customHeight="1" outlineLevel="1" x14ac:dyDescent="0.25">
      <c r="A75" s="52" t="s">
        <v>156</v>
      </c>
      <c r="B75" s="21" t="str">
        <f>'[1]АРМ (ПК без мониторов) '!D651</f>
        <v>АРМ Aquarius Pro P30 K43 USFF1 (АМПР.466539.425) (USFF/i3_10100/DDR4_8G/SSD256_M2_NVMe/WiFi/BT/KM)</v>
      </c>
      <c r="C75" s="22">
        <v>802</v>
      </c>
    </row>
    <row r="76" spans="1:3" ht="35.1" customHeight="1" outlineLevel="1" x14ac:dyDescent="0.25">
      <c r="A76" s="52" t="s">
        <v>157</v>
      </c>
      <c r="B76" s="21" t="str">
        <f>'[1]АРМ (ПК без мониторов) '!D667</f>
        <v>АРМ Aquarius Pro P30 K43 USFF1 (АМПР.466539.425) (USFF/i5_10500/DDR4_8G/SSD512_M2_NVMe/WiFi/BT/KM)</v>
      </c>
      <c r="C76" s="22">
        <v>947</v>
      </c>
    </row>
    <row r="77" spans="1:3" s="51" customFormat="1" ht="35.1" customHeight="1" outlineLevel="1" x14ac:dyDescent="0.25">
      <c r="A77" s="16" t="s">
        <v>17</v>
      </c>
      <c r="B77" s="17"/>
      <c r="C77" s="18"/>
    </row>
    <row r="78" spans="1:3" ht="35.1" customHeight="1" outlineLevel="1" x14ac:dyDescent="0.25">
      <c r="A78" s="52" t="s">
        <v>158</v>
      </c>
      <c r="B78" s="21" t="str">
        <f>'[1]АРМ (ПК без мониторов) '!D687</f>
        <v>АРМ Aquarius Pro P30 K45 mini-Tower (АМПР.466539.434) (MNT/PSU400/R5_5600G/DDR4_8G/SSD256_M2_NVMe/WiFi/BT/KM)</v>
      </c>
      <c r="C78" s="22">
        <v>858</v>
      </c>
    </row>
    <row r="79" spans="1:3" ht="35.1" customHeight="1" outlineLevel="1" x14ac:dyDescent="0.25">
      <c r="A79" s="52" t="s">
        <v>159</v>
      </c>
      <c r="B79" s="21" t="str">
        <f>'[1]АРМ (ПК без мониторов) '!D706</f>
        <v>АРМ Aquarius Pro P30 K45 mini-Tower (АМПР.466539.434) (MNT/PSU400/Ath_3000G/DDR4_8G/SSD256_M2_NVMe/WiFi/BT/KM)</v>
      </c>
      <c r="C79" s="22">
        <v>618</v>
      </c>
    </row>
    <row r="80" spans="1:3" ht="35.1" customHeight="1" outlineLevel="1" x14ac:dyDescent="0.25">
      <c r="A80" s="52" t="s">
        <v>160</v>
      </c>
      <c r="B80" s="21" t="str">
        <f>'[1]АРМ (ПК без мониторов) '!D766</f>
        <v>АРМ Aquarius Pro P30 K45 SFF1 (АМПР.466539.457) (SFF_300/R5_5600G/DDR4_8G/SSD256_M2_NVMe/WiFi/BT/KM)</v>
      </c>
      <c r="C80" s="22">
        <v>886</v>
      </c>
    </row>
    <row r="81" spans="1:3" ht="35.1" customHeight="1" outlineLevel="1" x14ac:dyDescent="0.25">
      <c r="A81" s="52" t="s">
        <v>161</v>
      </c>
      <c r="B81" s="21" t="str">
        <f>'[1]АРМ (ПК без мониторов) '!D785</f>
        <v>АРМ Aquarius Pro P30 K45 SFF1 (АМПР.466539.457) (SFF_300/Ath_3000G/DDR4_8G/SSD256_M2_NVMe/WiFi/BT/KM)</v>
      </c>
      <c r="C81" s="22">
        <v>636</v>
      </c>
    </row>
    <row r="82" spans="1:3" s="53" customFormat="1" ht="35.1" customHeight="1" outlineLevel="1" x14ac:dyDescent="0.25">
      <c r="A82" s="24" t="s">
        <v>18</v>
      </c>
      <c r="B82" s="25"/>
      <c r="C82" s="26"/>
    </row>
    <row r="83" spans="1:3" ht="35.1" customHeight="1" outlineLevel="1" x14ac:dyDescent="0.25">
      <c r="A83" s="52" t="s">
        <v>162</v>
      </c>
      <c r="B83" s="21" t="str">
        <f>'[1]АРМ (ПК без мониторов) '!D1219</f>
        <v>АРМ Aquarius Pro G40 S90 (АМПР.466539.227) (MDT/PSU750/E-2244G/DDR4_8G/SSD_256GB/KM)</v>
      </c>
      <c r="C83" s="22">
        <v>2602</v>
      </c>
    </row>
    <row r="84" spans="1:3" s="53" customFormat="1" ht="35.1" customHeight="1" x14ac:dyDescent="0.25">
      <c r="A84" s="26" t="s">
        <v>95</v>
      </c>
      <c r="B84" s="25"/>
      <c r="C84" s="26"/>
    </row>
    <row r="85" spans="1:3" s="51" customFormat="1" ht="35.1" customHeight="1" outlineLevel="1" x14ac:dyDescent="0.25">
      <c r="A85" s="16" t="s">
        <v>19</v>
      </c>
      <c r="B85" s="17"/>
      <c r="C85" s="18"/>
    </row>
    <row r="86" spans="1:3" ht="35.1" customHeight="1" outlineLevel="1" x14ac:dyDescent="0.25">
      <c r="A86" s="52" t="s">
        <v>163</v>
      </c>
      <c r="B86" s="21" t="str">
        <f>'[1]АРМ (Моноблоки)'!D14</f>
        <v>Моноблок Aquarius Mnb Pro T424 (АМПР.466539.831) (23.8"/i3_12100/DDR5_8G/SSD256_M2_NVMe/WiFi/BT/KM)</v>
      </c>
      <c r="C86" s="22">
        <v>1060</v>
      </c>
    </row>
    <row r="87" spans="1:3" ht="35.1" customHeight="1" outlineLevel="1" x14ac:dyDescent="0.25">
      <c r="A87" s="52" t="s">
        <v>164</v>
      </c>
      <c r="B87" s="21" t="str">
        <f>'[1]АРМ (Моноблоки)'!D29</f>
        <v>Моноблок Aquarius Mnb Pro T424 (АМПР.466539.831) (23.8"/i5_12400/DDR5_8G/SSD256_M2_NVMe/WiFi/BT/KM)</v>
      </c>
      <c r="C87" s="22">
        <v>1162</v>
      </c>
    </row>
    <row r="88" spans="1:3" ht="35.1" customHeight="1" outlineLevel="1" x14ac:dyDescent="0.25">
      <c r="A88" s="52" t="s">
        <v>165</v>
      </c>
      <c r="B88" s="21" t="str">
        <f>'[1]АРМ (Моноблоки)'!D44</f>
        <v>АРМ Aquarius Mnb Pro T424 (АМПР.466539.249) (23.8"/i5_12400/DDR5_8G/SSD512_M2_NVMe/WiFi/BT/KM)</v>
      </c>
      <c r="C88" s="22">
        <v>1187</v>
      </c>
    </row>
    <row r="89" spans="1:3" ht="35.1" customHeight="1" outlineLevel="1" x14ac:dyDescent="0.25">
      <c r="A89" s="52" t="s">
        <v>166</v>
      </c>
      <c r="B89" s="21" t="str">
        <f>'[1]АРМ (Моноблоки)'!D59</f>
        <v>АРМ Aquarius Mnb Pro T424 (АМПР.466539.249) (23.8"/i7_12700/DDR5_16G/SSD512_M2_NVMe/WiFi/BT/KM)</v>
      </c>
      <c r="C89" s="22">
        <v>1530</v>
      </c>
    </row>
    <row r="90" spans="1:3" ht="35.1" customHeight="1" outlineLevel="1" x14ac:dyDescent="0.25">
      <c r="A90" s="52" t="s">
        <v>167</v>
      </c>
      <c r="B90" s="21" t="str">
        <f>'[1]АРМ (Моноблоки)'!D74</f>
        <v>АРМ Aquarius Mnb Pro T424 (АМПР.466539.249) (23.8"/i3_13100/DDR5_8G/SSD256_M2_NVMe/WiFi/BT/KM)</v>
      </c>
      <c r="C90" s="22">
        <v>1145</v>
      </c>
    </row>
    <row r="91" spans="1:3" ht="35.1" customHeight="1" outlineLevel="1" x14ac:dyDescent="0.25">
      <c r="A91" s="52" t="s">
        <v>168</v>
      </c>
      <c r="B91" s="21" t="str">
        <f>'[1]АРМ (Моноблоки)'!D89</f>
        <v>АРМ Aquarius Mnb Pro T424 (АМПР.466539.249) (23.8"/i5_13400/DDR5_8G/SSD256_M2_NVMe/WiFi/BT/KM)</v>
      </c>
      <c r="C91" s="22">
        <v>1288</v>
      </c>
    </row>
    <row r="92" spans="1:3" ht="35.1" customHeight="1" outlineLevel="1" x14ac:dyDescent="0.25">
      <c r="A92" s="52" t="s">
        <v>169</v>
      </c>
      <c r="B92" s="21" t="str">
        <f>'[1]АРМ (Моноблоки)'!D104</f>
        <v>АРМ Aquarius Mnb Pro T424 (АМПР.466539.249) (23.8"/i5_13400/DDR5_8G/SSD512_M2_NVMe/WiFi/BT/KM)</v>
      </c>
      <c r="C92" s="22">
        <v>1313</v>
      </c>
    </row>
    <row r="93" spans="1:3" ht="35.1" customHeight="1" outlineLevel="1" x14ac:dyDescent="0.25">
      <c r="A93" s="52" t="s">
        <v>170</v>
      </c>
      <c r="B93" s="21" t="str">
        <f>'[1]АРМ (Моноблоки)'!D119</f>
        <v>АРМ Aquarius Mnb Pro T424 (АМПР.466539.249) (23.8"/i7_13700/DDR5_16G/SSD512_M2_NVMe/WiFi/BT/KM)</v>
      </c>
      <c r="C93" s="22">
        <v>1861</v>
      </c>
    </row>
    <row r="94" spans="1:3" ht="35.1" customHeight="1" outlineLevel="1" x14ac:dyDescent="0.25">
      <c r="A94" s="52" t="s">
        <v>171</v>
      </c>
      <c r="B94" s="21" t="str">
        <f>'[1]АРМ (Моноблоки)'!D134</f>
        <v>АРМ Aquarius Mnb Pro T424 (АМПР.466539.249) (23.8"/i3_14100/DDR5_8G/SSD512_M2_NVMe/WiFi/BT/KM)</v>
      </c>
      <c r="C94" s="22">
        <v>1173</v>
      </c>
    </row>
    <row r="95" spans="1:3" ht="35.1" customHeight="1" outlineLevel="1" x14ac:dyDescent="0.25">
      <c r="A95" s="52" t="s">
        <v>172</v>
      </c>
      <c r="B95" s="21" t="str">
        <f>'[1]АРМ (Моноблоки)'!D149</f>
        <v>АРМ Aquarius Mnb Pro T424 (АМПР.466539.249) (23.8"/i5_14400/DDR5_16G/SSD512_M2_NVMe/WiFi/BT/KM)</v>
      </c>
      <c r="C95" s="22">
        <v>1452</v>
      </c>
    </row>
    <row r="96" spans="1:3" ht="35.1" customHeight="1" outlineLevel="1" x14ac:dyDescent="0.25">
      <c r="A96" s="52" t="s">
        <v>173</v>
      </c>
      <c r="B96" s="21" t="str">
        <f>'[1]АРМ (Моноблоки)'!D164</f>
        <v>АРМ Aquarius Mnb Pro T424 (АМПР.466539.249) (23.8"/i7_14700/DDR5_16G/SSD512_M2_NVMe/WiFi/BT/KM)</v>
      </c>
      <c r="C96" s="22">
        <v>1944</v>
      </c>
    </row>
    <row r="97" spans="1:3" s="51" customFormat="1" ht="35.1" customHeight="1" outlineLevel="1" x14ac:dyDescent="0.25">
      <c r="A97" s="16" t="s">
        <v>20</v>
      </c>
      <c r="B97" s="17"/>
      <c r="C97" s="18"/>
    </row>
    <row r="98" spans="1:3" ht="35.1" customHeight="1" outlineLevel="1" x14ac:dyDescent="0.25">
      <c r="A98" s="52" t="s">
        <v>174</v>
      </c>
      <c r="B98" s="21" t="str">
        <f>'[1]АРМ (Моноблоки)'!D181</f>
        <v>АРМ Aquarius Mnb Pro T427 (АМПР.466539.250) (27"/i3_12100/DDR5_8G/SSD256_M2_NVMe/WiFi/BT/KM)</v>
      </c>
      <c r="C98" s="22">
        <v>1684</v>
      </c>
    </row>
    <row r="99" spans="1:3" ht="35.1" customHeight="1" outlineLevel="1" x14ac:dyDescent="0.25">
      <c r="A99" s="52" t="s">
        <v>175</v>
      </c>
      <c r="B99" s="21" t="str">
        <f>'[1]АРМ (Моноблоки)'!D196</f>
        <v>АРМ Aquarius Mnb Pro T427 (АМПР.466539.250) (27"/i5_12400/DDR5_8G/SSD256_M2_NVMe/WiFi/BT/KM)</v>
      </c>
      <c r="C99" s="22">
        <v>1786</v>
      </c>
    </row>
    <row r="100" spans="1:3" ht="35.1" customHeight="1" outlineLevel="1" x14ac:dyDescent="0.25">
      <c r="A100" s="52" t="s">
        <v>176</v>
      </c>
      <c r="B100" s="21" t="str">
        <f>'[1]АРМ (Моноблоки)'!D211</f>
        <v>АРМ Aquarius Mnb Pro T427 (АМПР.466539.250) (27"/i5_12400/DDR5_8G/SSD512_M2_NVMe/WiFi/BT/KM)</v>
      </c>
      <c r="C100" s="22">
        <v>1811</v>
      </c>
    </row>
    <row r="101" spans="1:3" ht="35.1" customHeight="1" outlineLevel="1" x14ac:dyDescent="0.25">
      <c r="A101" s="52" t="s">
        <v>177</v>
      </c>
      <c r="B101" s="21" t="str">
        <f>'[1]АРМ (Моноблоки)'!D226</f>
        <v>АРМ Aquarius Mnb Pro T427 (АМПР.466539.250) (27"/i7_12700/DDR5_16G/SSD512_M2_NVMe/WiFi/BT/KM)</v>
      </c>
      <c r="C101" s="22">
        <v>2154</v>
      </c>
    </row>
    <row r="102" spans="1:3" ht="35.1" customHeight="1" outlineLevel="1" x14ac:dyDescent="0.25">
      <c r="A102" s="52" t="s">
        <v>178</v>
      </c>
      <c r="B102" s="28" t="str">
        <f>'[1]АРМ (Моноблоки)'!D241</f>
        <v>АРМ Aquarius Mnb Pro T427 (АМПР.466539.250) (27"/i3_13100/DDR5_8G/SSD256_M2_NVMe/WiFi/BT/KM)</v>
      </c>
      <c r="C102" s="22">
        <v>1770</v>
      </c>
    </row>
    <row r="103" spans="1:3" ht="35.1" customHeight="1" outlineLevel="1" x14ac:dyDescent="0.25">
      <c r="A103" s="52" t="s">
        <v>179</v>
      </c>
      <c r="B103" s="28" t="str">
        <f>'[1]АРМ (Моноблоки)'!D256</f>
        <v>АРМ Aquarius Mnb Pro T427 (АМПР.466539.250) (27"/i5_13400/DDR5_8G/SSD256_M2_NVMe/WiFi/BT/KM)</v>
      </c>
      <c r="C103" s="22">
        <v>1913</v>
      </c>
    </row>
    <row r="104" spans="1:3" ht="35.1" customHeight="1" outlineLevel="1" x14ac:dyDescent="0.25">
      <c r="A104" s="52" t="s">
        <v>180</v>
      </c>
      <c r="B104" s="28" t="str">
        <f>'[1]АРМ (Моноблоки)'!D271</f>
        <v>АРМ Aquarius Mnb Pro T427 (АМПР.466539.250) (27"/i5_13400/DDR5_8G/SSD512_M2_NVMe/WiFi/BT/KM)</v>
      </c>
      <c r="C104" s="22">
        <v>1938</v>
      </c>
    </row>
    <row r="105" spans="1:3" ht="35.1" customHeight="1" outlineLevel="1" x14ac:dyDescent="0.25">
      <c r="A105" s="52" t="s">
        <v>181</v>
      </c>
      <c r="B105" s="28" t="str">
        <f>'[1]АРМ (Моноблоки)'!D286</f>
        <v>АРМ Aquarius Mnb Pro T427 (АМПР.466539.250) (27"/i7_13700/DDR5_16G/SSD512_M2_NVMe/WiFi/BT/KM)</v>
      </c>
      <c r="C105" s="22">
        <v>2486</v>
      </c>
    </row>
    <row r="106" spans="1:3" ht="35.1" customHeight="1" outlineLevel="1" x14ac:dyDescent="0.25">
      <c r="A106" s="52" t="s">
        <v>182</v>
      </c>
      <c r="B106" s="21" t="str">
        <f>'[1]АРМ (Моноблоки)'!D301</f>
        <v>АРМ Aquarius Mnb Pro T427 (АМПР.466539.250) (27"/i3_14100/DDR5_8G/SSD512_M2_NVMe/WiFi/BT/KM)</v>
      </c>
      <c r="C106" s="22">
        <v>1797</v>
      </c>
    </row>
    <row r="107" spans="1:3" ht="35.1" customHeight="1" outlineLevel="1" x14ac:dyDescent="0.25">
      <c r="A107" s="52" t="s">
        <v>183</v>
      </c>
      <c r="B107" s="21" t="str">
        <f>'[1]АРМ (Моноблоки)'!D316</f>
        <v>АРМ Aquarius Mnb Pro T427 (АМПР.466539.250) (27"/i5_14400/DDR5_16G/SSD512_M2_NVMe/WiFi/BT/KM)</v>
      </c>
      <c r="C107" s="22">
        <v>2076</v>
      </c>
    </row>
    <row r="108" spans="1:3" ht="35.1" customHeight="1" outlineLevel="1" x14ac:dyDescent="0.25">
      <c r="A108" s="52" t="s">
        <v>184</v>
      </c>
      <c r="B108" s="21" t="str">
        <f>'[1]АРМ (Моноблоки)'!D331</f>
        <v>АРМ Aquarius Mnb Pro T427 (АМПР.466539.250) (27"/i7_14700/DDR5_16G/SSD512_M2_NVMe/WiFi/BT/KM)</v>
      </c>
      <c r="C108" s="22">
        <v>2568</v>
      </c>
    </row>
    <row r="109" spans="1:3" s="51" customFormat="1" ht="35.1" customHeight="1" outlineLevel="1" x14ac:dyDescent="0.25">
      <c r="A109" s="16" t="s">
        <v>21</v>
      </c>
      <c r="B109" s="17"/>
      <c r="C109" s="18"/>
    </row>
    <row r="110" spans="1:3" ht="35.1" customHeight="1" outlineLevel="1" x14ac:dyDescent="0.25">
      <c r="A110" s="52" t="s">
        <v>185</v>
      </c>
      <c r="B110" s="21" t="str">
        <f>'[1]АРМ (Моноблоки)'!D345</f>
        <v>АРМ Aquarius Mnb Pro T924 (АМПР.466539.816) (23,8"/i3_12100/DDR4_8G/SSD256_M2_NVMe/WiFi/BT/KM)</v>
      </c>
      <c r="C110" s="22">
        <v>1591</v>
      </c>
    </row>
    <row r="111" spans="1:3" ht="35.1" customHeight="1" outlineLevel="1" x14ac:dyDescent="0.25">
      <c r="A111" s="52" t="s">
        <v>186</v>
      </c>
      <c r="B111" s="21" t="str">
        <f>'[1]АРМ (Моноблоки)'!D361</f>
        <v>АРМ Aquarius Mnb Pro T924 (АМПР.466539.816) (23,8"/i5_12400/DDR4_8G/SSD256_M2_NVMe/WiFi/BT/KM)</v>
      </c>
      <c r="C111" s="22">
        <v>1692</v>
      </c>
    </row>
    <row r="112" spans="1:3" ht="35.1" customHeight="1" outlineLevel="1" x14ac:dyDescent="0.25">
      <c r="A112" s="52" t="s">
        <v>187</v>
      </c>
      <c r="B112" s="21" t="str">
        <f>'[1]АРМ (Моноблоки)'!D375</f>
        <v>АРМ Aquarius Mnb Pro T924 (АМПР.466539.816) (23,8"/i5_12400/DDR4_8G/SSD512_M2_NVMe/WiFi/BT/KM)</v>
      </c>
      <c r="C112" s="22">
        <v>1734</v>
      </c>
    </row>
    <row r="113" spans="1:3" ht="35.1" customHeight="1" outlineLevel="1" x14ac:dyDescent="0.25">
      <c r="A113" s="52" t="s">
        <v>188</v>
      </c>
      <c r="B113" s="21" t="str">
        <f>'[1]АРМ (Моноблоки)'!D393</f>
        <v>АРМ Aquarius Mnb Pro T924 (АМПР.466539.816) (23,8"/i7_12700/DDR4_16G/SSD512_M2_NVMe/WiFi/BT/KM)</v>
      </c>
      <c r="C113" s="22">
        <v>2143</v>
      </c>
    </row>
    <row r="114" spans="1:3" ht="35.1" customHeight="1" outlineLevel="1" x14ac:dyDescent="0.25">
      <c r="A114" s="52" t="s">
        <v>189</v>
      </c>
      <c r="B114" s="21" t="str">
        <f>'[1]АРМ (Моноблоки)'!D409</f>
        <v>АРМ Aquarius Mnb Pro T924 (АМПР.466539.816) (23,8"/i3_13100/DDR4_8G/SSD256_M2_NVMe/WiFi/BT/KM)</v>
      </c>
      <c r="C114" s="22">
        <v>1676</v>
      </c>
    </row>
    <row r="115" spans="1:3" ht="35.1" customHeight="1" outlineLevel="1" x14ac:dyDescent="0.25">
      <c r="A115" s="52" t="s">
        <v>190</v>
      </c>
      <c r="B115" s="21" t="str">
        <f>'[1]АРМ (Моноблоки)'!D425</f>
        <v>АРМ Aquarius Mnb Pro T924 (АМПР.466539.816) (23,8"/i5_13400/DDR4_8G/SSD256_M2_NVMe/WiFi/BT/KM)</v>
      </c>
      <c r="C115" s="22">
        <v>1946</v>
      </c>
    </row>
    <row r="116" spans="1:3" ht="35.1" customHeight="1" outlineLevel="1" x14ac:dyDescent="0.25">
      <c r="A116" s="52" t="s">
        <v>191</v>
      </c>
      <c r="B116" s="21" t="str">
        <f>'[1]АРМ (Моноблоки)'!D439</f>
        <v>АРМ Aquarius Mnb Pro T924 (АМПР.466539.816) (23,8"/i5_13400/DDR4_8G/SSD512_M2_NVMe/WiFi/BT/KM)</v>
      </c>
      <c r="C116" s="22">
        <v>1971</v>
      </c>
    </row>
    <row r="117" spans="1:3" ht="35.1" customHeight="1" outlineLevel="1" x14ac:dyDescent="0.25">
      <c r="A117" s="52" t="s">
        <v>192</v>
      </c>
      <c r="B117" s="21" t="str">
        <f>'[1]АРМ (Моноблоки)'!D457</f>
        <v>АРМ Aquarius Mnb Pro T924 (АМПР.466539.816) (23,8"/i7_13700/DDR4_16G/SSD512_M2_NVMe/WiFi/BT/KM)</v>
      </c>
      <c r="C117" s="22">
        <v>2517</v>
      </c>
    </row>
    <row r="118" spans="1:3" ht="35.1" customHeight="1" outlineLevel="1" x14ac:dyDescent="0.25">
      <c r="A118" s="52" t="s">
        <v>193</v>
      </c>
      <c r="B118" s="21" t="str">
        <f>'[1]АРМ (Моноблоки)'!D473</f>
        <v>АРМ Aquarius Mnb Pro T924 (АМПР.466539.816) (23,8"/i3_14100/DDR4_8G/SSD512_M2_NVMe/WiFi/BT/KM)</v>
      </c>
      <c r="C118" s="22">
        <v>1803</v>
      </c>
    </row>
    <row r="119" spans="1:3" ht="35.1" customHeight="1" outlineLevel="1" x14ac:dyDescent="0.25">
      <c r="A119" s="52" t="s">
        <v>194</v>
      </c>
      <c r="B119" s="21" t="str">
        <f>'[1]АРМ (Моноблоки)'!D489</f>
        <v>АРМ Aquarius Mnb Pro T924 (АМПР.466539.816) (23,8"/i5_14400/DDR4_16G/SSD512_M2_NVMe/WiFi/BT/KM)</v>
      </c>
      <c r="C119" s="22">
        <v>2053</v>
      </c>
    </row>
    <row r="120" spans="1:3" ht="35.1" customHeight="1" outlineLevel="1" x14ac:dyDescent="0.25">
      <c r="A120" s="52" t="s">
        <v>195</v>
      </c>
      <c r="B120" s="21" t="str">
        <f>'[1]АРМ (Моноблоки)'!D505</f>
        <v>АРМ Aquarius Mnb Pro T924 (АМПР.466539.816) (23,8"/i7_14700/DDR4_16G/SSD512_M2_NVMe/WiFi/BT/KM)</v>
      </c>
      <c r="C120" s="22">
        <v>2494</v>
      </c>
    </row>
    <row r="121" spans="1:3" s="51" customFormat="1" ht="35.1" customHeight="1" outlineLevel="1" x14ac:dyDescent="0.25">
      <c r="A121" s="16" t="s">
        <v>22</v>
      </c>
      <c r="B121" s="17"/>
      <c r="C121" s="18"/>
    </row>
    <row r="122" spans="1:3" ht="35.1" customHeight="1" outlineLevel="1" x14ac:dyDescent="0.25">
      <c r="A122" s="52" t="s">
        <v>196</v>
      </c>
      <c r="B122" s="21" t="str">
        <f>'[1]АРМ (Моноблоки)'!D521</f>
        <v>АРМ Aquarius Mnb Pro T927 (АМПР.466539.304) (27"/i3_12100/DDR4_8G/SSD256_M2_NVMe/WiFi/BT/KM)</v>
      </c>
      <c r="C122" s="22">
        <v>1722</v>
      </c>
    </row>
    <row r="123" spans="1:3" ht="35.1" customHeight="1" outlineLevel="1" x14ac:dyDescent="0.25">
      <c r="A123" s="52" t="s">
        <v>197</v>
      </c>
      <c r="B123" s="21" t="str">
        <f>'[1]АРМ (Моноблоки)'!D537</f>
        <v>АРМ Aquarius Mnb Pro T927 (АМПР.466539.304) (27"/i5_12400/DDR4_8G/SSD256_M2_NVMe/WiFi/BT/KM)</v>
      </c>
      <c r="C123" s="22">
        <v>1840</v>
      </c>
    </row>
    <row r="124" spans="1:3" ht="35.1" customHeight="1" outlineLevel="1" x14ac:dyDescent="0.25">
      <c r="A124" s="52" t="s">
        <v>198</v>
      </c>
      <c r="B124" s="21" t="str">
        <f>'[1]АРМ (Моноблоки)'!D551</f>
        <v>АРМ Aquarius Mnb Pro T927 (АМПР.466539.304) (27"/i5_12400/DDR4_8G/SSD512_M2_NVMe/WiFi/BT/KM)</v>
      </c>
      <c r="C124" s="22">
        <v>1865</v>
      </c>
    </row>
    <row r="125" spans="1:3" ht="35.1" customHeight="1" outlineLevel="1" x14ac:dyDescent="0.25">
      <c r="A125" s="52" t="s">
        <v>199</v>
      </c>
      <c r="B125" s="21" t="str">
        <f>'[1]АРМ (Моноблоки)'!D567</f>
        <v>АРМ Aquarius Mnb Pro T927 (АМПР.466539.304) (27"/i7_12700/DDR4_16G/SSD512_M2_NVMe/WiFi/BT/KM)</v>
      </c>
      <c r="C125" s="22">
        <v>2274</v>
      </c>
    </row>
    <row r="126" spans="1:3" ht="35.1" customHeight="1" outlineLevel="1" x14ac:dyDescent="0.25">
      <c r="A126" s="52" t="s">
        <v>200</v>
      </c>
      <c r="B126" s="21" t="str">
        <f>'[1]АРМ (Моноблоки)'!D582</f>
        <v>АРМ Aquarius Mnb Pro T927 (АМПР.466539.304) (27"/i3_13100/DDR4_8G/SSD256_M2_NVMe/WiFi/BT/KM)</v>
      </c>
      <c r="C126" s="22">
        <v>1824</v>
      </c>
    </row>
    <row r="127" spans="1:3" ht="35.1" customHeight="1" outlineLevel="1" x14ac:dyDescent="0.25">
      <c r="A127" s="52" t="s">
        <v>201</v>
      </c>
      <c r="B127" s="21" t="str">
        <f>'[1]АРМ (Моноблоки)'!D597</f>
        <v>АРМ Aquarius Mnb Pro T927 (АМПР.466539.304) (27"/i5_13400/DDR4_8G/SSD256_M2_NVMe/WiFi/BT/KM)</v>
      </c>
      <c r="C127" s="22">
        <v>1967</v>
      </c>
    </row>
    <row r="128" spans="1:3" ht="35.1" customHeight="1" outlineLevel="1" x14ac:dyDescent="0.25">
      <c r="A128" s="52" t="s">
        <v>202</v>
      </c>
      <c r="B128" s="21" t="str">
        <f>'[1]АРМ (Моноблоки)'!D611</f>
        <v>АРМ Aquarius Mnb Pro T927 (АМПР.466539.304) (27"/i5_13400/DDR4_8G/SSD512_M2_NVMe/WiFi/BT/KM)</v>
      </c>
      <c r="C128" s="22">
        <v>1992</v>
      </c>
    </row>
    <row r="129" spans="1:3" ht="35.1" customHeight="1" outlineLevel="1" x14ac:dyDescent="0.25">
      <c r="A129" s="52" t="s">
        <v>203</v>
      </c>
      <c r="B129" s="21" t="str">
        <f>'[1]АРМ (Моноблоки)'!D627</f>
        <v>АРМ Aquarius Mnb Pro T927 (АМПР.466539.304) (27"/i7_13700/DDR4_16G/SSD512_M2_NVMe/WiFi/BT/KM)</v>
      </c>
      <c r="C129" s="22">
        <v>2532</v>
      </c>
    </row>
    <row r="130" spans="1:3" ht="35.1" customHeight="1" outlineLevel="1" x14ac:dyDescent="0.25">
      <c r="A130" s="52" t="s">
        <v>204</v>
      </c>
      <c r="B130" s="21" t="str">
        <f>'[1]АРМ (Моноблоки)'!D642</f>
        <v>АРМ Aquarius Mnb Pro T927 (АМПР.466539.304) (27"/i3_14100/DDR4_8G/SSD512_M2_NVMe/WiFi/BT/KM)</v>
      </c>
      <c r="C130" s="22">
        <v>1851</v>
      </c>
    </row>
    <row r="131" spans="1:3" ht="35.1" customHeight="1" outlineLevel="1" x14ac:dyDescent="0.25">
      <c r="A131" s="52" t="s">
        <v>205</v>
      </c>
      <c r="B131" s="21" t="str">
        <f>'[1]АРМ (Моноблоки)'!D657</f>
        <v>АРМ Aquarius Mnb Pro T927 (АМПР.466539.304) (27"/i5_14400/DDR4_16G/SSD512_M2_NVMe/WiFi/BT/KM)</v>
      </c>
      <c r="C131" s="22">
        <v>2123</v>
      </c>
    </row>
    <row r="132" spans="1:3" ht="35.1" customHeight="1" outlineLevel="1" x14ac:dyDescent="0.25">
      <c r="A132" s="52" t="s">
        <v>206</v>
      </c>
      <c r="B132" s="21" t="str">
        <f>'[1]АРМ (Моноблоки)'!D672</f>
        <v>АРМ Aquarius Mnb Pro T927 (АМПР.466539.304) (27"/i7_14700/DDR4_16G/SSD512_M2_NVMe/WiFi/BT/KM)</v>
      </c>
      <c r="C132" s="22">
        <v>2579</v>
      </c>
    </row>
    <row r="133" spans="1:3" s="51" customFormat="1" ht="35.1" customHeight="1" outlineLevel="1" x14ac:dyDescent="0.25">
      <c r="A133" s="16" t="s">
        <v>23</v>
      </c>
      <c r="B133" s="17"/>
      <c r="C133" s="18"/>
    </row>
    <row r="134" spans="1:3" ht="35.1" customHeight="1" outlineLevel="1" x14ac:dyDescent="0.25">
      <c r="A134" s="52" t="s">
        <v>207</v>
      </c>
      <c r="B134" s="21" t="str">
        <f>'[1]АРМ (Моноблоки)'!D686</f>
        <v>АРМ Aquarius Mnb Pro T904 (АМПР.466539.466) (23.8"/i3_10100/DDR4_8G/SSD256_M2_NVMe/WiFi/BT/KM)</v>
      </c>
      <c r="C134" s="22">
        <v>930</v>
      </c>
    </row>
    <row r="135" spans="1:3" ht="35.1" customHeight="1" outlineLevel="1" x14ac:dyDescent="0.25">
      <c r="A135" s="52" t="s">
        <v>208</v>
      </c>
      <c r="B135" s="21" t="str">
        <f>'[1]АРМ (Моноблоки)'!D700</f>
        <v>АРМ Aquarius Mnb Pro T904 (АМПР.466539.466) (23.8"/i5_10500/DDR4_8G/SSD256_M2_NVMe/WiFi/BT/KM)</v>
      </c>
      <c r="C135" s="22">
        <v>1050</v>
      </c>
    </row>
    <row r="136" spans="1:3" s="51" customFormat="1" ht="35.1" customHeight="1" outlineLevel="1" x14ac:dyDescent="0.25">
      <c r="A136" s="16" t="s">
        <v>24</v>
      </c>
      <c r="B136" s="17"/>
      <c r="C136" s="18"/>
    </row>
    <row r="137" spans="1:3" ht="35.1" customHeight="1" outlineLevel="1" x14ac:dyDescent="0.25">
      <c r="A137" s="52" t="s">
        <v>209</v>
      </c>
      <c r="B137" s="21" t="str">
        <f>'[1]АРМ (Моноблоки)'!D714</f>
        <v>АРМ Aquarius Mnb Pro T907 (АМПР.466539.301) (27"/i3_10100/DDR4_8G/SSD256_M2_NVMe/WiFi/BT/KM)</v>
      </c>
      <c r="C137" s="22">
        <v>1107</v>
      </c>
    </row>
    <row r="138" spans="1:3" ht="35.1" customHeight="1" outlineLevel="1" x14ac:dyDescent="0.25">
      <c r="A138" s="52" t="s">
        <v>210</v>
      </c>
      <c r="B138" s="21" t="str">
        <f>'[1]АРМ (Моноблоки)'!D727</f>
        <v>АРМ Aquarius Mnb Pro T907 (АМПР.466539.301) (27"/i5_10500/DDR4_8G/SSD256_M2_NVMe/WiFi/BT/KM)</v>
      </c>
      <c r="C138" s="22">
        <v>1228</v>
      </c>
    </row>
    <row r="139" spans="1:3" s="51" customFormat="1" ht="35.1" customHeight="1" outlineLevel="1" x14ac:dyDescent="0.25">
      <c r="A139" s="16" t="s">
        <v>25</v>
      </c>
      <c r="B139" s="17"/>
      <c r="C139" s="18"/>
    </row>
    <row r="140" spans="1:3" ht="35.1" customHeight="1" outlineLevel="1" x14ac:dyDescent="0.25">
      <c r="A140" s="52" t="s">
        <v>211</v>
      </c>
      <c r="B140" s="21" t="str">
        <f>'[1]АРМ (Моноблоки)'!D744</f>
        <v>АРМ Aquarius Mnb Pro T314 (АМПР.466539.453) (23.8"/R5_5600G/DDR4_8G/SSD256_M2_NVMe/WiFi/BT/KM)</v>
      </c>
      <c r="C140" s="22">
        <v>1124</v>
      </c>
    </row>
    <row r="141" spans="1:3" s="54" customFormat="1" ht="35.1" customHeight="1" x14ac:dyDescent="0.25">
      <c r="A141" s="8" t="s">
        <v>96</v>
      </c>
      <c r="B141" s="9"/>
      <c r="C141" s="8"/>
    </row>
    <row r="142" spans="1:3" s="54" customFormat="1" ht="35.1" customHeight="1" outlineLevel="1" x14ac:dyDescent="0.25">
      <c r="A142" s="16" t="s">
        <v>98</v>
      </c>
      <c r="B142" s="17"/>
      <c r="C142" s="18"/>
    </row>
    <row r="143" spans="1:3" s="54" customFormat="1" ht="35.1" customHeight="1" outlineLevel="1" x14ac:dyDescent="0.25">
      <c r="A143" s="52" t="str">
        <f>'[1]АРМ (ПК+24)'!A18</f>
        <v>AQ-CONF-ARMP-00066</v>
      </c>
      <c r="B143" s="21" t="str">
        <f>'[1]АРМ (ПК+24)'!D18</f>
        <v>АРМ Aquarius Pro K720 (АМПР.466539.253) (SFF_300/i3_12100/DDR5_8G/SSD256_M2_NVMe/WiFi/BT/KM/MON_23,8)</v>
      </c>
      <c r="C143" s="22">
        <v>1129</v>
      </c>
    </row>
    <row r="144" spans="1:3" s="54" customFormat="1" ht="35.1" customHeight="1" outlineLevel="1" x14ac:dyDescent="0.25">
      <c r="A144" s="52" t="str">
        <f>'[1]АРМ (ПК+24)'!A37</f>
        <v>AQ-CONF-ARMP-00067</v>
      </c>
      <c r="B144" s="21" t="str">
        <f>'[1]АРМ (ПК+24)'!D37</f>
        <v>АРМ Aquarius Pro K720 (АМПР.466539.253) (SFF_300/i5_12400/DDR5_8G/SSD256_M2_NVMe/WiFi/BT/KM/MON_23,8)</v>
      </c>
      <c r="C144" s="22">
        <v>1230</v>
      </c>
    </row>
    <row r="145" spans="1:3" s="54" customFormat="1" ht="35.1" customHeight="1" outlineLevel="1" x14ac:dyDescent="0.25">
      <c r="A145" s="52" t="str">
        <f>'[1]АРМ (ПК+24)'!A56</f>
        <v>AQ-CONF-ARMP-00068</v>
      </c>
      <c r="B145" s="21" t="str">
        <f>'[1]АРМ (ПК+24)'!D56</f>
        <v>АРМ Aquarius Pro K720 (АМПР.466539.253) (SFF_300/i5_12400/DDR5_8G/SSD512_M2_NVMe/WiFi/BT/KM/MON_23,8)</v>
      </c>
      <c r="C145" s="22">
        <v>1255</v>
      </c>
    </row>
    <row r="146" spans="1:3" s="54" customFormat="1" ht="35.1" customHeight="1" outlineLevel="1" x14ac:dyDescent="0.25">
      <c r="A146" s="52" t="str">
        <f>'[1]АРМ (ПК+24)'!A76</f>
        <v>AQ-CONF-ARMP-00069</v>
      </c>
      <c r="B146" s="21" t="str">
        <f>'[1]АРМ (ПК+24)'!D76</f>
        <v>АРМ Aquarius Pro K720 (АМПР.466539.253) (SFF_300/i3_13100/DDR5_8G/SSD256_M2_NVMe/WiFi/BT/KM/MON_23,8)</v>
      </c>
      <c r="C146" s="22">
        <v>1214</v>
      </c>
    </row>
    <row r="147" spans="1:3" s="54" customFormat="1" ht="35.1" customHeight="1" outlineLevel="1" x14ac:dyDescent="0.25">
      <c r="A147" s="52" t="str">
        <f>'[1]АРМ (ПК+24)'!A95</f>
        <v>AQ-CONF-ARMP-00070</v>
      </c>
      <c r="B147" s="21" t="str">
        <f>'[1]АРМ (ПК+24)'!D95</f>
        <v>АРМ Aquarius Pro K720 (АМПР.466539.253) (SFF_300/i5_13400/DDR5_8G/SSD256_M2_NVMe/WiFi/BT/KM/MON_23,8)</v>
      </c>
      <c r="C147" s="22">
        <v>1357</v>
      </c>
    </row>
    <row r="148" spans="1:3" s="54" customFormat="1" ht="35.1" customHeight="1" outlineLevel="1" x14ac:dyDescent="0.25">
      <c r="A148" s="52" t="str">
        <f>'[1]АРМ (ПК+24)'!A114</f>
        <v>AQ-CONF-ARMP-00071</v>
      </c>
      <c r="B148" s="21" t="str">
        <f>'[1]АРМ (ПК+24)'!D114</f>
        <v>АРМ Aquarius Pro K720 (АМПР.466539.253) (SFF_300/i5_13400/DDR5_8G/SSD512_M2_NVMe/WiFi/BT/KM/MON_23,8)</v>
      </c>
      <c r="C148" s="22">
        <v>1382</v>
      </c>
    </row>
    <row r="149" spans="1:3" s="54" customFormat="1" ht="35.1" customHeight="1" outlineLevel="1" x14ac:dyDescent="0.25">
      <c r="A149" s="52" t="str">
        <f>'[1]АРМ (ПК+24)'!A134</f>
        <v>AQ-CONF-ARMP-00072</v>
      </c>
      <c r="B149" s="21" t="str">
        <f>'[1]АРМ (ПК+24)'!D134</f>
        <v>АРМ Aquarius Pro K720 (АМПР.466539.253) (SFF_300/i3_14100/DDR5_8G/SSD512_M2_NVMe/WiFi/BT/KM/MON_23,8)</v>
      </c>
      <c r="C149" s="22">
        <v>1241</v>
      </c>
    </row>
    <row r="150" spans="1:3" s="54" customFormat="1" ht="35.1" customHeight="1" outlineLevel="1" x14ac:dyDescent="0.25">
      <c r="A150" s="52" t="str">
        <f>'[1]АРМ (ПК+24)'!A153</f>
        <v>AQ-CONF-ARMP-00073</v>
      </c>
      <c r="B150" s="21" t="str">
        <f>'[1]АРМ (ПК+24)'!D153</f>
        <v>АРМ Aquarius Pro K720 (АМПР.466539.253) (SFF_300/i5_14400/DDR5_16G/SSD512_M2_NVMe/WiFi/BT/KM/MON_23,8)</v>
      </c>
      <c r="C150" s="22">
        <v>1521</v>
      </c>
    </row>
    <row r="151" spans="1:3" s="54" customFormat="1" ht="35.1" customHeight="1" outlineLevel="1" x14ac:dyDescent="0.25">
      <c r="A151" s="16" t="s">
        <v>11</v>
      </c>
      <c r="B151" s="17"/>
      <c r="C151" s="18"/>
    </row>
    <row r="152" spans="1:3" s="54" customFormat="1" ht="35.1" customHeight="1" outlineLevel="1" x14ac:dyDescent="0.25">
      <c r="A152" s="52" t="str">
        <f>'[1]АРМ (ПК+24)'!A173</f>
        <v>AQ-CONF-ARMP-00074</v>
      </c>
      <c r="B152" s="21" t="str">
        <f>'[1]АРМ (ПК+24)'!D173</f>
        <v>АРМ Aquarius Pro K730 (АМПР.466539.244) (SFF_300/i3_12100/DDR5_8G/SSD256_M2_NVMe/WiFi/BT/KM/MON_23,8)</v>
      </c>
      <c r="C152" s="22">
        <v>1083</v>
      </c>
    </row>
    <row r="153" spans="1:3" s="54" customFormat="1" ht="35.1" customHeight="1" outlineLevel="1" x14ac:dyDescent="0.25">
      <c r="A153" s="52" t="str">
        <f>'[1]АРМ (ПК+24)'!A193</f>
        <v>AQ-CONF-ARMP-00075</v>
      </c>
      <c r="B153" s="21" t="str">
        <f>'[1]АРМ (ПК+24)'!D193</f>
        <v>АРМ Aquarius Pro K730 (АМПР.466539.244) (SFF_300/i5_12400/DDR5_8G/SSD256_M2_NVMe/WiFi/BT/KM/MON_23,8)</v>
      </c>
      <c r="C153" s="22">
        <v>1166</v>
      </c>
    </row>
    <row r="154" spans="1:3" s="54" customFormat="1" ht="35.1" customHeight="1" outlineLevel="1" x14ac:dyDescent="0.25">
      <c r="A154" s="52" t="str">
        <f>'[1]АРМ (ПК+24)'!A211</f>
        <v>AQ-CONF-ARMP-00076</v>
      </c>
      <c r="B154" s="21" t="str">
        <f>'[1]АРМ (ПК+24)'!D211</f>
        <v>АРМ Aquarius Pro K730 (АМПР.466539.244) (SFF_300/i5_12400/DDR5_8G/SSD512_M2_NVMe/WiFi/BT/KM/MON_23,8)</v>
      </c>
      <c r="C154" s="22">
        <v>1191</v>
      </c>
    </row>
    <row r="155" spans="1:3" s="54" customFormat="1" ht="35.1" customHeight="1" outlineLevel="1" x14ac:dyDescent="0.25">
      <c r="A155" s="52" t="str">
        <f>'[1]АРМ (ПК+24)'!A230</f>
        <v>AQ-CONF-ARMP-00077</v>
      </c>
      <c r="B155" s="21" t="str">
        <f>'[1]АРМ (ПК+24)'!D230</f>
        <v>АРМ Aquarius Pro K730 (АМПР.466539.244) (SFF_300/i3_13100/DDR5_8G/SSD256_M2_NVMe/WiFi/BT/KM/MON_23,8)</v>
      </c>
      <c r="C155" s="22">
        <v>1150</v>
      </c>
    </row>
    <row r="156" spans="1:3" s="54" customFormat="1" ht="35.1" customHeight="1" outlineLevel="1" x14ac:dyDescent="0.25">
      <c r="A156" s="52" t="str">
        <f>'[1]АРМ (ПК+24)'!A248</f>
        <v>AQ-CONF-ARMP-00078</v>
      </c>
      <c r="B156" s="21" t="str">
        <f>'[1]АРМ (ПК+24)'!D248</f>
        <v>АРМ Aquarius Pro K730 (АМПР.466539.244) (SFF_300/i5_13400/DDR5_8G/SSD256_M2_NVMe/WiFi/BT/KM/MON_23,8)</v>
      </c>
      <c r="C156" s="22">
        <v>1293</v>
      </c>
    </row>
    <row r="157" spans="1:3" s="54" customFormat="1" ht="35.1" customHeight="1" outlineLevel="1" x14ac:dyDescent="0.25">
      <c r="A157" s="52" t="str">
        <f>'[1]АРМ (ПК+24)'!A266</f>
        <v>AQ-CONF-ARMP-00079</v>
      </c>
      <c r="B157" s="21" t="str">
        <f>'[1]АРМ (ПК+24)'!D266</f>
        <v>АРМ Aquarius Pro K730(АМПР.466539.244) (SFF_300/i5_13400/DDR5_8G/SSD512_M2_NVMe/WiFi/BT/KM/MON_23,8)</v>
      </c>
      <c r="C157" s="22">
        <v>1318</v>
      </c>
    </row>
    <row r="158" spans="1:3" s="54" customFormat="1" ht="35.1" customHeight="1" outlineLevel="1" x14ac:dyDescent="0.25">
      <c r="A158" s="52" t="str">
        <f>'[1]АРМ (ПК+24)'!A285</f>
        <v>AQ-CONF-ARMP-00080</v>
      </c>
      <c r="B158" s="21" t="str">
        <f>'[1]АРМ (ПК+24)'!D285</f>
        <v>АРМ Aquarius Pro K730 (АМПР.466539.244) (SFF_300/i3_14100/DDR5_8G/SSD256_M2_NVMe/WiFi/BT/KM/MON_23,8)</v>
      </c>
      <c r="C158" s="22">
        <v>1152</v>
      </c>
    </row>
    <row r="159" spans="1:3" s="54" customFormat="1" ht="35.1" customHeight="1" outlineLevel="1" x14ac:dyDescent="0.25">
      <c r="A159" s="52" t="str">
        <f>'[1]АРМ (ПК+24)'!A303</f>
        <v>AQ-CONF-ARMP-00081</v>
      </c>
      <c r="B159" s="21" t="str">
        <f>'[1]АРМ (ПК+24)'!D303</f>
        <v>АРМ Aquarius Pro K730 (АМПР.466539.244)) (SFF_300/i5_14400/DDR5_16G/SSD512_M2_NVMe/WiFi/BT/KM/MON_23,8)</v>
      </c>
      <c r="C159" s="22">
        <v>1457</v>
      </c>
    </row>
    <row r="160" spans="1:3" s="54" customFormat="1" ht="35.1" customHeight="1" outlineLevel="1" x14ac:dyDescent="0.25">
      <c r="A160" s="16" t="s">
        <v>12</v>
      </c>
      <c r="B160" s="17"/>
      <c r="C160" s="18"/>
    </row>
    <row r="161" spans="1:3" s="54" customFormat="1" ht="35.1" customHeight="1" outlineLevel="1" x14ac:dyDescent="0.25">
      <c r="A161" s="52" t="str">
        <f>'[1]АРМ (ПК+24)'!A324</f>
        <v>AQ-CONF-ARMP-00082</v>
      </c>
      <c r="B161" s="21" t="str">
        <f>'[1]АРМ (ПК+24)'!D324</f>
        <v>АРМ Aquarius Pro K760 (АМПР.466539.245) (MNT/PSU400/i3_12100/DDR5_8G/SSD256_M2_NVMe/WiFi/BT/KM/MON_23,8)</v>
      </c>
      <c r="C161" s="22">
        <v>1081</v>
      </c>
    </row>
    <row r="162" spans="1:3" s="54" customFormat="1" ht="35.1" customHeight="1" outlineLevel="1" x14ac:dyDescent="0.25">
      <c r="A162" s="52" t="str">
        <f>'[1]АРМ (ПК+24)'!A343</f>
        <v>AQ-CONF-ARMP-00083</v>
      </c>
      <c r="B162" s="21" t="str">
        <f>'[1]АРМ (ПК+24)'!D343</f>
        <v>АРМ Aquarius Pro K760 (АМПР.466539.245) (MNT/PSU400/i5_12400/DDR5_8G/SSD256_M2_NVMe/WiFi/BT/KM/MON_23,8)</v>
      </c>
      <c r="C162" s="22">
        <v>1183</v>
      </c>
    </row>
    <row r="163" spans="1:3" s="54" customFormat="1" ht="35.1" customHeight="1" outlineLevel="1" x14ac:dyDescent="0.25">
      <c r="A163" s="52" t="str">
        <f>'[1]АРМ (ПК+24)'!A362</f>
        <v>AQ-CONF-ARMP-00084</v>
      </c>
      <c r="B163" s="21" t="str">
        <f>'[1]АРМ (ПК+24)'!D362</f>
        <v>АРМ Aquarius Pro K760 (АМПР.466539.245) (MNT/PSU400/i5_12400/DDR5_8G/SSD512_M2_NVMe/WiFi/BT/KM/MON_23,8)</v>
      </c>
      <c r="C163" s="22">
        <v>1208</v>
      </c>
    </row>
    <row r="164" spans="1:3" s="54" customFormat="1" ht="35.1" customHeight="1" outlineLevel="1" x14ac:dyDescent="0.25">
      <c r="A164" s="52" t="str">
        <f>'[1]АРМ (ПК+24)'!A382</f>
        <v>AQ-CONF-ARMP-00085</v>
      </c>
      <c r="B164" s="21" t="str">
        <f>'[1]АРМ (ПК+24)'!D382</f>
        <v>АРМ Aquarius Pro K760 (АМПР.466539.245) (MNT/PSU400/i3_13100/DDR5_8G/SSD256_M2_NVMe/WiFi/BT/KM/MON_23,8)</v>
      </c>
      <c r="C164" s="22">
        <v>1167</v>
      </c>
    </row>
    <row r="165" spans="1:3" s="54" customFormat="1" ht="35.1" customHeight="1" outlineLevel="1" x14ac:dyDescent="0.25">
      <c r="A165" s="52" t="str">
        <f>'[1]АРМ (ПК+24)'!A401</f>
        <v>AQ-CONF-ARMP-00086</v>
      </c>
      <c r="B165" s="21" t="str">
        <f>'[1]АРМ (ПК+24)'!D401</f>
        <v>АРМ Aquarius Pro K760 (АМПР.466539.245) (MNT/PSU400/i5_13400/DDR5_8G/SSD256_M2_NVMe/WiFi/BT/KM/MON_23,8)</v>
      </c>
      <c r="C165" s="22">
        <v>1310</v>
      </c>
    </row>
    <row r="166" spans="1:3" s="54" customFormat="1" ht="35.1" customHeight="1" outlineLevel="1" x14ac:dyDescent="0.25">
      <c r="A166" s="52" t="str">
        <f>'[1]АРМ (ПК+24)'!A420</f>
        <v>AQ-CONF-ARMP-00087</v>
      </c>
      <c r="B166" s="21" t="str">
        <f>'[1]АРМ (ПК+24)'!D420</f>
        <v>АРМ Aquarius Pro K760 (АМПР.466539.245) (MNT/PSU400/i5_13400/DDR5_8G/SSD512_M2_NVMe/WiFi/BT/KM/MON_23,8)</v>
      </c>
      <c r="C166" s="22">
        <v>1335</v>
      </c>
    </row>
    <row r="167" spans="1:3" s="54" customFormat="1" ht="35.1" customHeight="1" outlineLevel="1" x14ac:dyDescent="0.25">
      <c r="A167" s="52" t="str">
        <f>'[1]АРМ (ПК+24)'!A440</f>
        <v>AQ-CONF-ARMP-00088</v>
      </c>
      <c r="B167" s="21" t="str">
        <f>'[1]АРМ (ПК+24)'!D440</f>
        <v>АРМ Aquarius Pro K760 (АМПР.466539.245)(MNT/PSU400/i3_14100/DDR5_8G/SSD512_M2_NVMe/WiFi/BT/KM/MON_23,8)</v>
      </c>
      <c r="C167" s="22">
        <v>1194</v>
      </c>
    </row>
    <row r="168" spans="1:3" s="54" customFormat="1" ht="35.1" customHeight="1" outlineLevel="1" x14ac:dyDescent="0.25">
      <c r="A168" s="52" t="str">
        <f>'[1]АРМ (ПК+24)'!A459</f>
        <v>AQ-CONF-ARMP-00089</v>
      </c>
      <c r="B168" s="21" t="str">
        <f>'[1]АРМ (ПК+24)'!D459</f>
        <v>АРМ Aquarius Pro K760 (АМПР.466539.245) (MNT/PSU400/i5_14400/DDR5_16G/SSD512_M2_NVMe/WiFi/BT/KM/MON_23,8)</v>
      </c>
      <c r="C168" s="22">
        <v>1474</v>
      </c>
    </row>
    <row r="169" spans="1:3" s="54" customFormat="1" ht="35.1" customHeight="1" outlineLevel="1" x14ac:dyDescent="0.25">
      <c r="A169" s="52" t="str">
        <f>'[1]АРМ (ПК+24)'!A478</f>
        <v>AQ-CONF-ARMP-00090</v>
      </c>
      <c r="B169" s="21" t="str">
        <f>'[1]АРМ (ПК+24)'!D478</f>
        <v>АРМ Aquarius Pro K760 (АМПР.466539.245) (MNT/PSU400/i7_12700/DDR5_16G/SSD512_M2_NVMe/WiFi/BT/KM/MON_23,8)</v>
      </c>
      <c r="C169" s="22">
        <v>1573</v>
      </c>
    </row>
    <row r="170" spans="1:3" s="54" customFormat="1" ht="35.1" customHeight="1" outlineLevel="1" x14ac:dyDescent="0.25">
      <c r="A170" s="52" t="str">
        <f>'[1]АРМ (ПК+24)'!A497</f>
        <v>AQ-CONF-ARMP-00091</v>
      </c>
      <c r="B170" s="21" t="str">
        <f>'[1]АРМ (ПК+24)'!D497</f>
        <v>АРМ Aquarius Pro K760 (АМПР.466539.245) (MNT/PSU400/i7_13700/DDR5_16G/SSD512_M2_NVMe/WiFi/BT/KM/MON_23,8)</v>
      </c>
      <c r="C170" s="22">
        <v>1964</v>
      </c>
    </row>
    <row r="171" spans="1:3" s="54" customFormat="1" ht="35.1" customHeight="1" outlineLevel="1" x14ac:dyDescent="0.25">
      <c r="A171" s="52" t="str">
        <f>'[1]АРМ (ПК+24)'!A516</f>
        <v>AQ-CONF-ARMP-00092</v>
      </c>
      <c r="B171" s="21" t="str">
        <f>'[1]АРМ (ПК+24)'!D516</f>
        <v>АРМ Aquarius Pro K760 (АМПР.466539.245) (MNT/PSU400/i7_14700/DDR5_16G/SSD512_M2_NVMe/WiFi/BT/KM/MON_23,8)</v>
      </c>
      <c r="C171" s="22">
        <v>2112</v>
      </c>
    </row>
    <row r="172" spans="1:3" s="54" customFormat="1" ht="35.1" customHeight="1" outlineLevel="1" x14ac:dyDescent="0.25">
      <c r="A172" s="16" t="s">
        <v>13</v>
      </c>
      <c r="B172" s="17"/>
      <c r="C172" s="18"/>
    </row>
    <row r="173" spans="1:3" s="54" customFormat="1" ht="35.1" customHeight="1" outlineLevel="1" x14ac:dyDescent="0.25">
      <c r="A173" s="52" t="str">
        <f>'[1]АРМ (ПК+24)'!A536</f>
        <v>AQ-CONF-ARMP-00093</v>
      </c>
      <c r="B173" s="21" t="str">
        <f>'[1]АРМ (ПК+24)'!D536</f>
        <v>АРМ Aquarius Pro K790 (АМПР.466539.248) (MDT/PSU400/i5_12400/DDR5_8G/SSD256_M2_NVMe/WiFi/BT/KM/MON_23,8)</v>
      </c>
      <c r="C173" s="22">
        <v>1187</v>
      </c>
    </row>
    <row r="174" spans="1:3" s="54" customFormat="1" ht="35.1" customHeight="1" outlineLevel="1" x14ac:dyDescent="0.25">
      <c r="A174" s="52" t="str">
        <f>'[1]АРМ (ПК+24)'!A555</f>
        <v>AQ-CONF-ARMP-00094</v>
      </c>
      <c r="B174" s="21" t="str">
        <f>'[1]АРМ (ПК+24)'!D555</f>
        <v>АРМ Aquarius Pro K790 (АМПР.466539.248) (MDT/PSU400/i5_12400/DDR5_8G/SSD512_M2_NVMe/WiFi/BT/KM/MON_23,8)</v>
      </c>
      <c r="C174" s="22">
        <v>1212</v>
      </c>
    </row>
    <row r="175" spans="1:3" s="54" customFormat="1" ht="35.1" customHeight="1" outlineLevel="1" x14ac:dyDescent="0.25">
      <c r="A175" s="52" t="str">
        <f>'[1]АРМ (ПК+24)'!A574</f>
        <v>AQ-CONF-ARMP-00095</v>
      </c>
      <c r="B175" s="21" t="str">
        <f>'[1]АРМ (ПК+24)'!D574</f>
        <v>АРМ Aquarius Pro K790 (АМПР.466539.248) (MDT/PSU400/i7_12700/DDR5_16G/SSD512_M2_NVMe/WiFi/BT/KM/MON_23,8)</v>
      </c>
      <c r="C175" s="22">
        <v>1555</v>
      </c>
    </row>
    <row r="176" spans="1:3" s="54" customFormat="1" ht="35.1" customHeight="1" outlineLevel="1" x14ac:dyDescent="0.25">
      <c r="A176" s="52" t="str">
        <f>'[1]АРМ (ПК+24)'!A593</f>
        <v>AQ-CONF-ARMP-00096</v>
      </c>
      <c r="B176" s="21" t="str">
        <f>'[1]АРМ (ПК+24)'!D593</f>
        <v>АРМ Aquarius Pro K790 (АМПР.466539.248) (MDT/PSU400/i5_13400/DDR5_8G/SSD256_M2_NVMe/WiFi/BT/KM/MON_23,8)</v>
      </c>
      <c r="C176" s="22">
        <v>1314</v>
      </c>
    </row>
    <row r="177" spans="1:3" s="54" customFormat="1" ht="35.1" customHeight="1" outlineLevel="1" x14ac:dyDescent="0.25">
      <c r="A177" s="52" t="str">
        <f>'[1]АРМ (ПК+24)'!A612</f>
        <v>AQ-CONF-ARMP-00097</v>
      </c>
      <c r="B177" s="21" t="str">
        <f>'[1]АРМ (ПК+24)'!D612</f>
        <v>АРМ Aquarius Pro K790 (АМПР.466539.248) (MDT/PSU400/i5_13400/DDR5_8G/SSD512_M2_NVMe/WiFi/BT/KM/MON_23,8)</v>
      </c>
      <c r="C177" s="22">
        <v>1339</v>
      </c>
    </row>
    <row r="178" spans="1:3" s="54" customFormat="1" ht="35.1" customHeight="1" outlineLevel="1" x14ac:dyDescent="0.25">
      <c r="A178" s="52" t="str">
        <f>'[1]АРМ (ПК+24)'!A631</f>
        <v>AQ-CONF-ARMP-00098</v>
      </c>
      <c r="B178" s="21" t="str">
        <f>'[1]АРМ (ПК+24)'!D631</f>
        <v>АРМ Aquarius Pro K790 (АМПР.466539.248) (MDT/PSU400/i7_13700/DDR5_16G/SSD512_M2_NVMe/WiFi/BT/KM/MON_23,8)</v>
      </c>
      <c r="C178" s="22">
        <v>1887</v>
      </c>
    </row>
    <row r="179" spans="1:3" s="54" customFormat="1" ht="35.1" customHeight="1" outlineLevel="1" x14ac:dyDescent="0.25">
      <c r="A179" s="52" t="str">
        <f>'[1]АРМ (ПК+24)'!A651</f>
        <v>AQ-CONF-ARMP-00099</v>
      </c>
      <c r="B179" s="21" t="str">
        <f>'[1]АРМ (ПК+24)'!D651</f>
        <v>АРМ Aquarius Pro K790 (АМПР.466539.248) (MDT/PSU400/i5_14400/DDR5_16G/SSD512_M2_NVMe/WiFi/BT/KM/MON_23,8)</v>
      </c>
      <c r="C179" s="22">
        <v>1478</v>
      </c>
    </row>
    <row r="180" spans="1:3" s="54" customFormat="1" ht="35.1" customHeight="1" outlineLevel="1" x14ac:dyDescent="0.25">
      <c r="A180" s="52" t="str">
        <f>'[1]АРМ (ПК+24)'!A670</f>
        <v>AQ-CONF-ARMP-00100</v>
      </c>
      <c r="B180" s="21" t="str">
        <f>'[1]АРМ (ПК+24)'!D670</f>
        <v>АРМ Aquarius Pro K790 (АМПР.466539.248) (MDT/PSU400/i7_14700/DDR5_16G/SSD512_M2_NVMe/WiFi/BT/KM/MON_23,8)</v>
      </c>
      <c r="C180" s="22">
        <v>1970</v>
      </c>
    </row>
    <row r="181" spans="1:3" s="54" customFormat="1" ht="35.1" customHeight="1" outlineLevel="1" x14ac:dyDescent="0.25">
      <c r="A181" s="16" t="s">
        <v>14</v>
      </c>
      <c r="B181" s="17"/>
      <c r="C181" s="18"/>
    </row>
    <row r="182" spans="1:3" s="54" customFormat="1" ht="35.1" customHeight="1" outlineLevel="1" x14ac:dyDescent="0.25">
      <c r="A182" s="52" t="str">
        <f>'[1]АРМ (ПК+24)'!A884</f>
        <v>AQ-CONF-ARMP-00107</v>
      </c>
      <c r="B182" s="21" t="str">
        <f>'[1]АРМ (ПК+24)'!D884</f>
        <v>АРМ Aquarius Pro P30 K50 USFF1 (АМПР.466539.139) (USFF/i3_12100/DDR4_8G/SSD256_M2_NVMe/WiFi/BT/KM/MON_23,8)</v>
      </c>
      <c r="C182" s="22">
        <v>1214</v>
      </c>
    </row>
    <row r="183" spans="1:3" s="54" customFormat="1" ht="35.1" customHeight="1" outlineLevel="1" x14ac:dyDescent="0.25">
      <c r="A183" s="52" t="str">
        <f>'[1]АРМ (ПК+24)'!A902</f>
        <v>AQ-CONF-ARMP-00108</v>
      </c>
      <c r="B183" s="21" t="str">
        <f>'[1]АРМ (ПК+24)'!D902</f>
        <v>АРМ Aquarius Pro P30 K50 USFF1 (АМПР.466539.139) (USFF/i5_12400/DDR4_8G/SSD256_M2_NVMe/WiFi/BT/KM/MON_23,8)</v>
      </c>
      <c r="C183" s="22">
        <v>1316</v>
      </c>
    </row>
    <row r="184" spans="1:3" s="54" customFormat="1" ht="35.1" customHeight="1" outlineLevel="1" x14ac:dyDescent="0.25">
      <c r="A184" s="52" t="str">
        <f>'[1]АРМ (ПК+24)'!A919</f>
        <v>AQ-CONF-ARMP-00109</v>
      </c>
      <c r="B184" s="21" t="str">
        <f>'[1]АРМ (ПК+24)'!D919</f>
        <v>АРМ Aquarius Pro P30 K50 USFF1 (АМПР.466539.139) (USFF/i5_12400/DDR4_8G/SSD512_M2_NVMe/WiFi/BT/KM/MON_23,8)</v>
      </c>
      <c r="C184" s="22">
        <v>1341</v>
      </c>
    </row>
    <row r="185" spans="1:3" s="54" customFormat="1" ht="35.1" customHeight="1" outlineLevel="1" x14ac:dyDescent="0.25">
      <c r="A185" s="52" t="str">
        <f>'[1]АРМ (ПК+24)'!A937</f>
        <v>AQ-CONF-ARMP-00110</v>
      </c>
      <c r="B185" s="21" t="str">
        <f>'[1]АРМ (ПК+24)'!D937</f>
        <v>АРМ Aquarius Pro P30 K50 USFF1 (АМПР.466539.139) (USFF/i7_12700/DDR4_16G/SSD512_M2_NVMe/WiFi/BT/KM/MON_23,8)</v>
      </c>
      <c r="C185" s="22">
        <v>1693</v>
      </c>
    </row>
    <row r="186" spans="1:3" s="54" customFormat="1" ht="35.1" customHeight="1" outlineLevel="1" x14ac:dyDescent="0.25">
      <c r="A186" s="52" t="str">
        <f>'[1]АРМ (ПК+24)'!A955</f>
        <v>AQ-CONF-ARMP-00111</v>
      </c>
      <c r="B186" s="21" t="str">
        <f>'[1]АРМ (ПК+24)'!D955</f>
        <v>АРМ Aquarius Pro P30 K50 USFF1 (АМПР.466539.139) (USFF/i3_13100/DDR4_8G/SSD256_M2_NVMe/WiFi/BT/KM/MON_23,8)</v>
      </c>
      <c r="C186" s="22">
        <v>1300</v>
      </c>
    </row>
    <row r="187" spans="1:3" s="54" customFormat="1" ht="35.1" customHeight="1" outlineLevel="1" x14ac:dyDescent="0.25">
      <c r="A187" s="52" t="str">
        <f>'[1]АРМ (ПК+24)'!A973</f>
        <v>AQ-CONF-ARMP-00112</v>
      </c>
      <c r="B187" s="21" t="str">
        <f>'[1]АРМ (ПК+24)'!D973</f>
        <v>АРМ Aquarius Pro P30 K50 USFF1 (АМПР.466539.139) (USFF/i5_13400/DDR4_8G/SSD256_M2_NVMe/WiFi/BT/KM/MON_23,8)</v>
      </c>
      <c r="C187" s="22">
        <v>1443</v>
      </c>
    </row>
    <row r="188" spans="1:3" s="54" customFormat="1" ht="35.1" customHeight="1" outlineLevel="1" x14ac:dyDescent="0.25">
      <c r="A188" s="52" t="str">
        <f>'[1]АРМ (ПК+24)'!A991</f>
        <v>AQ-CONF-ARMP-00113</v>
      </c>
      <c r="B188" s="21" t="str">
        <f>'[1]АРМ (ПК+24)'!D991</f>
        <v>АРМ Aquarius Pro P30 K50 USFF1 (АМПР.466539.139) (USFF/i5_13400/DDR4_8G/SSD512_M2_NVMe/WiFi/BT/KM/MON_23,8)</v>
      </c>
      <c r="C188" s="22">
        <v>1468</v>
      </c>
    </row>
    <row r="189" spans="1:3" s="54" customFormat="1" ht="35.1" customHeight="1" outlineLevel="1" x14ac:dyDescent="0.25">
      <c r="A189" s="52" t="str">
        <f>'[1]АРМ (ПК+24)'!A1009</f>
        <v>AQ-CONF-ARMP-00114</v>
      </c>
      <c r="B189" s="21" t="str">
        <f>'[1]АРМ (ПК+24)'!D1009</f>
        <v>АРМ Aquarius Pro P30 K50 USFF1 (АМПР.466539.139) (USFF/i7_13700/DDR4_16G/SSD512_M2_NVMe/WiFi/BT/KM/MON_23,8)</v>
      </c>
      <c r="C189" s="22">
        <v>2025</v>
      </c>
    </row>
    <row r="190" spans="1:3" s="54" customFormat="1" ht="35.1" customHeight="1" outlineLevel="1" x14ac:dyDescent="0.25">
      <c r="A190" s="52" t="str">
        <f>'[1]АРМ (ПК+24)'!A1027</f>
        <v>AQ-CONF-ARMP-00115</v>
      </c>
      <c r="B190" s="21" t="str">
        <f>'[1]АРМ (ПК+24)'!D1027</f>
        <v>АРМ Aquarius Pro P30 K50 USFF1 (АМПР.466539.139) (USFF/i3_14100/DDR4_8G/SSD512_M2_NVMe/WiFi/BT/KM/MON_23,8)</v>
      </c>
      <c r="C190" s="22">
        <v>1327</v>
      </c>
    </row>
    <row r="191" spans="1:3" s="54" customFormat="1" ht="35.1" customHeight="1" outlineLevel="1" x14ac:dyDescent="0.25">
      <c r="A191" s="52" t="str">
        <f>'[1]АРМ (ПК+24)'!A1045</f>
        <v>AQ-CONF-ARMP-00116</v>
      </c>
      <c r="B191" s="21" t="str">
        <f>'[1]АРМ (ПК+24)'!D1045</f>
        <v>АРМ Aquarius Pro P30 K50 USFF1 (АМПР.466539.139) (USFF/i5_14400/DDR4_16G/SSD512_M2_NVMe/WiFi/BT/KM/MON_23,8)</v>
      </c>
      <c r="C191" s="22">
        <v>1615</v>
      </c>
    </row>
    <row r="192" spans="1:3" s="54" customFormat="1" ht="35.1" customHeight="1" outlineLevel="1" x14ac:dyDescent="0.25">
      <c r="A192" s="52" t="str">
        <f>'[1]АРМ (ПК+24)'!A1063</f>
        <v>AQ-CONF-ARMP-00117</v>
      </c>
      <c r="B192" s="21" t="str">
        <f>'[1]АРМ (ПК+24)'!D1063</f>
        <v>АРМ Aquarius Pro P30 K50 USFF1 (АМПР.466539.139) (USFF/i7_14700/DDR4_16G/SSD512_M2_NVMe/WiFi/BT/KM/MON_23,8)</v>
      </c>
      <c r="C192" s="22">
        <v>2107</v>
      </c>
    </row>
    <row r="193" spans="1:3" s="54" customFormat="1" ht="35.1" customHeight="1" outlineLevel="1" x14ac:dyDescent="0.25">
      <c r="A193" s="16" t="s">
        <v>15</v>
      </c>
      <c r="B193" s="17"/>
      <c r="C193" s="18"/>
    </row>
    <row r="194" spans="1:3" s="54" customFormat="1" ht="35.1" customHeight="1" outlineLevel="1" x14ac:dyDescent="0.25">
      <c r="A194" s="52" t="str">
        <f>'[1]АРМ (ПК+24)'!A1084</f>
        <v>AQ-CONF-ARMP-00119</v>
      </c>
      <c r="B194" s="21" t="str">
        <f>'[1]АРМ (ПК+24)'!D1084</f>
        <v>АРМ Aquarius Pro P30 K51 USFF1 (АМПР.466539.148) (USFF/i3_12100/DDR4_8G/SSD256_M2_NVMe/WiFi/BT/KM/MON_23,8)</v>
      </c>
      <c r="C194" s="22">
        <v>1160</v>
      </c>
    </row>
    <row r="195" spans="1:3" s="54" customFormat="1" ht="35.1" customHeight="1" outlineLevel="1" x14ac:dyDescent="0.25">
      <c r="A195" s="52" t="str">
        <f>'[1]АРМ (ПК+24)'!A1103</f>
        <v>AQ-CONF-ARMP-00120</v>
      </c>
      <c r="B195" s="21" t="str">
        <f>'[1]АРМ (ПК+24)'!D1103</f>
        <v>АРМ Aquarius Pro P30 K51 USFF1 (АМПР.466539.148) (USFF/i5_12400/DDR4_8G/SSD256_M2_NVMe/WiFi/BT/KM/MON_23,8)</v>
      </c>
      <c r="C195" s="22">
        <v>1261</v>
      </c>
    </row>
    <row r="196" spans="1:3" s="54" customFormat="1" ht="35.1" customHeight="1" outlineLevel="1" x14ac:dyDescent="0.25">
      <c r="A196" s="52" t="str">
        <f>'[1]АРМ (ПК+24)'!A1120</f>
        <v>AQ-CONF-ARMP-00121</v>
      </c>
      <c r="B196" s="21" t="str">
        <f>'[1]АРМ (ПК+24)'!D1120</f>
        <v>АРМ Aquarius Pro P30 K51 USFF1 (АМПР.466539.148) (USFF/i5_12400/DDR4_8G/SSD512_M2_NVMe/WiFi/BT/KM/MON_23,8)</v>
      </c>
      <c r="C196" s="22">
        <v>1286</v>
      </c>
    </row>
    <row r="197" spans="1:3" s="54" customFormat="1" ht="35.1" customHeight="1" outlineLevel="1" x14ac:dyDescent="0.25">
      <c r="A197" s="52" t="str">
        <f>'[1]АРМ (ПК+24)'!A1139</f>
        <v>AQ-CONF-ARMP-00122</v>
      </c>
      <c r="B197" s="21" t="str">
        <f>'[1]АРМ (ПК+24)'!D1139</f>
        <v>АРМ Aquarius Pro P30 K51 USFF1 (АМПР.466539.148) (USFF/i7_12700/DDR4_16G/SSD512_M2_NVMe/WiFi/BT/KM/MON_23,8)</v>
      </c>
      <c r="C197" s="22">
        <v>1639</v>
      </c>
    </row>
    <row r="198" spans="1:3" s="54" customFormat="1" ht="35.1" customHeight="1" outlineLevel="1" x14ac:dyDescent="0.25">
      <c r="A198" s="52" t="str">
        <f>'[1]АРМ (ПК+24)'!A1158</f>
        <v>AQ-CONF-ARMP-00123</v>
      </c>
      <c r="B198" s="21" t="str">
        <f>'[1]АРМ (ПК+24)'!D1158</f>
        <v>АРМ Aquarius Pro P30 K51 USFF1 (АМПР.466539.148) (USFF/i3_13100/DDR4_8G/SSD256_M2_NVMe/WiFi/BT/KM/MON_23,8)</v>
      </c>
      <c r="C198" s="22">
        <v>1245</v>
      </c>
    </row>
    <row r="199" spans="1:3" s="54" customFormat="1" ht="35.1" customHeight="1" outlineLevel="1" x14ac:dyDescent="0.25">
      <c r="A199" s="52" t="str">
        <f>'[1]АРМ (ПК+24)'!A1177</f>
        <v>AQ-CONF-ARMP-00124</v>
      </c>
      <c r="B199" s="21" t="str">
        <f>'[1]АРМ (ПК+24)'!D1177</f>
        <v>АРМ Aquarius Pro P30 K51 USFF1 (АМПР.466539.148) (USFF/i5_13400/DDR4_8G/SSD256_M2_NVMe/WiFi/BT/KM/MON_23,8)</v>
      </c>
      <c r="C199" s="22">
        <v>1388</v>
      </c>
    </row>
    <row r="200" spans="1:3" s="54" customFormat="1" ht="35.1" customHeight="1" outlineLevel="1" x14ac:dyDescent="0.25">
      <c r="A200" s="52" t="str">
        <f>'[1]АРМ (ПК+24)'!A1194</f>
        <v>AQ-CONF-ARMP-00125</v>
      </c>
      <c r="B200" s="21" t="str">
        <f>'[1]АРМ (ПК+24)'!D1194</f>
        <v>АРМ Aquarius Pro P30 K51 USFF1 (АМПР.466539.148) (USFF/i5_13400/DDR4_8G/SSD512_M2_NVMe/WiFi/BT/KM/MON_23,8)</v>
      </c>
      <c r="C200" s="22">
        <v>1413</v>
      </c>
    </row>
    <row r="201" spans="1:3" s="54" customFormat="1" ht="35.1" customHeight="1" outlineLevel="1" x14ac:dyDescent="0.25">
      <c r="A201" s="52" t="str">
        <f>'[1]АРМ (ПК+24)'!A1215</f>
        <v>AQ-CONF-ARMP-00126</v>
      </c>
      <c r="B201" s="21" t="str">
        <f>'[1]АРМ (ПК+24)'!D1215</f>
        <v>АРМ Aquarius Pro P30 K51 USFF1 (АМПР.466539.148) (USFF/i7_13700/DDR4_16G/SSD512_M2_NVMe/WiFi/BT/KM/MON_23,8)</v>
      </c>
      <c r="C201" s="22">
        <v>1970</v>
      </c>
    </row>
    <row r="202" spans="1:3" s="54" customFormat="1" ht="35.1" customHeight="1" outlineLevel="1" x14ac:dyDescent="0.25">
      <c r="A202" s="52" t="str">
        <f>'[1]АРМ (ПК+24)'!A1234</f>
        <v>AQ-CONF-ARMP-00127</v>
      </c>
      <c r="B202" s="21" t="str">
        <f>'[1]АРМ (ПК+24)'!D1234</f>
        <v>АРМ Aquarius Pro P30 K51 USFF1 (АМПР.466539.148) (USFF/i3_14100/DDR4_8G/SSD512_M2_NVMe/WiFi/BT/KM/MON_23,8)</v>
      </c>
      <c r="C202" s="22">
        <v>1273</v>
      </c>
    </row>
    <row r="203" spans="1:3" s="54" customFormat="1" ht="35.1" customHeight="1" outlineLevel="1" x14ac:dyDescent="0.25">
      <c r="A203" s="52" t="str">
        <f>'[1]АРМ (ПК+24)'!A1253</f>
        <v>AQ-CONF-ARMP-00128</v>
      </c>
      <c r="B203" s="21" t="str">
        <f>'[1]АРМ (ПК+24)'!D1253</f>
        <v>АРМ Aquarius Pro P30 K51 USFF1 (АМПР.466539.148) (USFF/i5_14400/DDR4_16G/SSD512_M2_NVMe/WiFi/BT/KM/MON_23,8)</v>
      </c>
      <c r="C203" s="22">
        <v>1561</v>
      </c>
    </row>
    <row r="204" spans="1:3" s="54" customFormat="1" ht="35.1" customHeight="1" outlineLevel="1" x14ac:dyDescent="0.25">
      <c r="A204" s="52" t="str">
        <f>'[1]АРМ (ПК+24)'!A1272</f>
        <v>AQ-CONF-ARMP-00129</v>
      </c>
      <c r="B204" s="21" t="str">
        <f>'[1]АРМ (ПК+24)'!D1272</f>
        <v>АРМ Aquarius Pro P30 K51 USFF1 (АМПР.466539.148) (USFF/i7_14700/DDR4_16G/SSD256_M2_NVMe/WiFi/BT/KM/MON_23,8)</v>
      </c>
      <c r="C204" s="22">
        <v>2028</v>
      </c>
    </row>
    <row r="205" spans="1:3" s="54" customFormat="1" ht="35.1" customHeight="1" outlineLevel="1" x14ac:dyDescent="0.25">
      <c r="A205" s="16" t="s">
        <v>16</v>
      </c>
      <c r="B205" s="17"/>
      <c r="C205" s="18"/>
    </row>
    <row r="206" spans="1:3" s="54" customFormat="1" ht="35.1" customHeight="1" outlineLevel="1" x14ac:dyDescent="0.25">
      <c r="A206" s="52" t="str">
        <f>'[1]АРМ (ПК+24)'!A687</f>
        <v>AQ-CONF-ARMP-00101</v>
      </c>
      <c r="B206" s="21" t="str">
        <f>'[1]АРМ (ПК+24)'!D687</f>
        <v>АРМ Aquarius Pro P30 K43 USFF1 (АМПР.466539.425) (USFF/i3_10100/DDR4_8G/SSD256_M2_NVMe/WiFi/BT/KM/MON_23,8)</v>
      </c>
      <c r="C206" s="22">
        <v>1049</v>
      </c>
    </row>
    <row r="207" spans="1:3" s="54" customFormat="1" ht="35.1" customHeight="1" outlineLevel="1" x14ac:dyDescent="0.25">
      <c r="A207" s="52" t="str">
        <f>'[1]АРМ (ПК+24)'!A704</f>
        <v>AQ-CONF-ARMP-00102</v>
      </c>
      <c r="B207" s="21" t="str">
        <f>'[1]АРМ (ПК+24)'!D704</f>
        <v>АРМ Aquarius Pro P30 K43 USFF1 (АМПР.466539.425) (USFF/i5_10500/DDR4_8G/SSD512_M2_NVMe/WiFi/BT/KM/MON_23,8)</v>
      </c>
      <c r="C207" s="22">
        <v>1194</v>
      </c>
    </row>
    <row r="208" spans="1:3" s="54" customFormat="1" ht="35.1" customHeight="1" outlineLevel="1" x14ac:dyDescent="0.25">
      <c r="A208" s="16" t="s">
        <v>17</v>
      </c>
      <c r="B208" s="17"/>
      <c r="C208" s="18"/>
    </row>
    <row r="209" spans="1:3" s="54" customFormat="1" ht="35.1" customHeight="1" outlineLevel="1" x14ac:dyDescent="0.25">
      <c r="A209" s="52" t="str">
        <f>'[1]АРМ (ПК+24)'!A725</f>
        <v>AQ-CONF-ARMP-00103</v>
      </c>
      <c r="B209" s="21" t="str">
        <f>'[1]АРМ (ПК+24)'!D725</f>
        <v>АРМ Aquarius Pro P30 K45 mini-Tower (АМПР.466539.434) (MNT/PSU400/R5_5600G/DDR4_8G/SSD256_M2_NVMe/WiFi/BT/KM/MON_23,8)</v>
      </c>
      <c r="C209" s="22">
        <v>980</v>
      </c>
    </row>
    <row r="210" spans="1:3" s="54" customFormat="1" ht="35.1" customHeight="1" outlineLevel="1" x14ac:dyDescent="0.25">
      <c r="A210" s="52" t="str">
        <f>'[1]АРМ (ПК+24)'!A745</f>
        <v>AQ-CONF-ARMP-00104</v>
      </c>
      <c r="B210" s="21" t="str">
        <f>'[1]АРМ (ПК+24)'!D745</f>
        <v>АРМ Aquarius Pro P30 K45 mini-Tower (АМПР.466539.434) (MNT/PSU400/Ath_3000G/DDR4_8G/SSD256_M2_NVMe/WiFi/BT/KM/MON_23,8)</v>
      </c>
      <c r="C210" s="22">
        <v>739</v>
      </c>
    </row>
    <row r="211" spans="1:3" s="54" customFormat="1" ht="35.1" customHeight="1" outlineLevel="1" x14ac:dyDescent="0.25">
      <c r="A211" s="52" t="str">
        <f>'[1]АРМ (ПК+24)'!A808</f>
        <v>AQ-CONF-ARMP-00105</v>
      </c>
      <c r="B211" s="21" t="str">
        <f>'[1]АРМ (ПК+24)'!D808</f>
        <v>АРМ Aquarius Pro P30 K45 SFF1 (АМПР.466539.457) (SFF_300/R5_5600G/DDR4_8G/SSD256_M2_NVMe/WiFi/BT/KM/MON_23,8)</v>
      </c>
      <c r="C211" s="22">
        <v>1133</v>
      </c>
    </row>
    <row r="212" spans="1:3" s="54" customFormat="1" ht="35.1" customHeight="1" outlineLevel="1" x14ac:dyDescent="0.25">
      <c r="A212" s="52" t="str">
        <f>'[1]АРМ (ПК+24)'!A828</f>
        <v>AQ-CONF-ARMP-00106</v>
      </c>
      <c r="B212" s="21" t="str">
        <f>'[1]АРМ (ПК+24)'!D828</f>
        <v>АРМ Aquarius Pro P30 K45 SFF1 (АМПР.466539.457) (SFF_300/Ath_3000G/DDR4_8G/SSD256_M2_NVMe/WiFi/BT/KM/MON_23,8)</v>
      </c>
      <c r="C212" s="22">
        <v>883</v>
      </c>
    </row>
    <row r="213" spans="1:3" s="54" customFormat="1" ht="35.1" customHeight="1" outlineLevel="1" x14ac:dyDescent="0.25">
      <c r="A213" s="24" t="s">
        <v>18</v>
      </c>
      <c r="B213" s="25"/>
      <c r="C213" s="26"/>
    </row>
    <row r="214" spans="1:3" s="54" customFormat="1" ht="35.1" customHeight="1" outlineLevel="1" x14ac:dyDescent="0.25">
      <c r="A214" s="52" t="str">
        <f>'[1]АРМ (ПК+24)'!A1288</f>
        <v>AQ-CONF-ARMP-00130</v>
      </c>
      <c r="B214" s="21" t="str">
        <f>'[1]АРМ (ПК+24)'!D1288</f>
        <v>АРМ Aquarius Pro G40 S90 (АМПР.466539.227) (MDT/PSU750/E-2244G/DDR4_8G/SSD_256GB/KM/MON_23,8)</v>
      </c>
      <c r="C214" s="22">
        <v>2849</v>
      </c>
    </row>
    <row r="215" spans="1:3" s="54" customFormat="1" ht="35.1" customHeight="1" x14ac:dyDescent="0.25">
      <c r="A215" s="8" t="s">
        <v>97</v>
      </c>
      <c r="B215" s="9"/>
      <c r="C215" s="8"/>
    </row>
    <row r="216" spans="1:3" s="54" customFormat="1" ht="35.1" customHeight="1" outlineLevel="1" x14ac:dyDescent="0.25">
      <c r="A216" s="16" t="s">
        <v>98</v>
      </c>
      <c r="B216" s="17"/>
      <c r="C216" s="18"/>
    </row>
    <row r="217" spans="1:3" s="54" customFormat="1" ht="35.1" customHeight="1" outlineLevel="1" x14ac:dyDescent="0.25">
      <c r="A217" s="52" t="str">
        <f>'[1]АРМ (ПК+27)'!A18</f>
        <v>AQ-CONF-ARMP-00131</v>
      </c>
      <c r="B217" s="21" t="str">
        <f>'[1]АРМ (ПК+27)'!D18</f>
        <v>АРМ Aquarius Pro K720 (АМПР.466539.253) (SFF_300/i3_12100/DDR5_8G/SSD256_M2_NVMe/WiFi/BT/KM/MON_27)</v>
      </c>
      <c r="C217" s="22">
        <v>1185</v>
      </c>
    </row>
    <row r="218" spans="1:3" s="54" customFormat="1" ht="35.1" customHeight="1" outlineLevel="1" x14ac:dyDescent="0.25">
      <c r="A218" s="52" t="str">
        <f>'[1]АРМ (ПК+27)'!A37</f>
        <v>AQ-CONF-ARMP-00132</v>
      </c>
      <c r="B218" s="21" t="str">
        <f>'[1]АРМ (ПК+27)'!D37</f>
        <v>АРМ Aquarius Pro K720 (АМПР.466539.253) (SFF_300/i5_12400/DDR5_8G/SSD256_M2_NVMe/WiFi/BT/KM/MON_27)</v>
      </c>
      <c r="C218" s="22">
        <v>1287</v>
      </c>
    </row>
    <row r="219" spans="1:3" s="54" customFormat="1" ht="35.1" customHeight="1" outlineLevel="1" x14ac:dyDescent="0.25">
      <c r="A219" s="52" t="str">
        <f>'[1]АРМ (ПК+27)'!A56</f>
        <v>AQ-CONF-ARMP-00133</v>
      </c>
      <c r="B219" s="21" t="str">
        <f>'[1]АРМ (ПК+27)'!D56</f>
        <v>АРМ Aquarius Pro K720 (АМПР.466539.253) (SFF_300/i5_12400/DDR5_8G/SSD512_M2_NVMe/WiFi/BT/KM/MON_27)</v>
      </c>
      <c r="C219" s="22">
        <v>1312</v>
      </c>
    </row>
    <row r="220" spans="1:3" s="54" customFormat="1" ht="35.1" customHeight="1" outlineLevel="1" x14ac:dyDescent="0.25">
      <c r="A220" s="52" t="str">
        <f>'[1]АРМ (ПК+27)'!A76</f>
        <v>AQ-CONF-ARMP-00134</v>
      </c>
      <c r="B220" s="21" t="str">
        <f>'[1]АРМ (ПК+27)'!D76</f>
        <v>АРМ Aquarius Pro K720 (АМПР.466539.253) (SFF_300/i3_13100/DDR5_8G/SSD256_M2_NVMe/WiFi/BT/KM/MON_27)</v>
      </c>
      <c r="C220" s="22">
        <v>1270</v>
      </c>
    </row>
    <row r="221" spans="1:3" s="54" customFormat="1" ht="35.1" customHeight="1" outlineLevel="1" x14ac:dyDescent="0.25">
      <c r="A221" s="52" t="str">
        <f>'[1]АРМ (ПК+27)'!A95</f>
        <v>AQ-CONF-ARMP-00135</v>
      </c>
      <c r="B221" s="21" t="str">
        <f>'[1]АРМ (ПК+27)'!D95</f>
        <v>АРМ Aquarius Pro K720 (АМПР.466539.253) (SFF_300/i5_13400/DDR5_8G/SSD256_M2_NVMe/WiFi/BT/KM/MON_27)</v>
      </c>
      <c r="C221" s="22">
        <v>1413</v>
      </c>
    </row>
    <row r="222" spans="1:3" s="54" customFormat="1" ht="35.1" customHeight="1" outlineLevel="1" x14ac:dyDescent="0.25">
      <c r="A222" s="52" t="str">
        <f>'[1]АРМ (ПК+27)'!A114</f>
        <v>AQ-CONF-ARMP-00136</v>
      </c>
      <c r="B222" s="21" t="str">
        <f>'[1]АРМ (ПК+27)'!D114</f>
        <v>АРМ Aquarius Pro K720 (АМПР.466539.253) (SFF_300/i5_13400/DDR5_8G/SSD512_M2_NVMe/WiFi/BT/KM/MON_27)</v>
      </c>
      <c r="C222" s="22">
        <v>1439</v>
      </c>
    </row>
    <row r="223" spans="1:3" s="54" customFormat="1" ht="35.1" customHeight="1" outlineLevel="1" x14ac:dyDescent="0.25">
      <c r="A223" s="52" t="str">
        <f>'[1]АРМ (ПК+27)'!A134</f>
        <v>AQ-CONF-ARMP-00137</v>
      </c>
      <c r="B223" s="21" t="str">
        <f>'[1]АРМ (ПК+27)'!D134</f>
        <v>АРМ Aquarius Pro K720 (АМПР.466539.253) (SFF_300/i3_14100/DDR5_8G/SSD512_M2_NVMe/WiFi/BT/KM/MON_27)</v>
      </c>
      <c r="C223" s="22">
        <v>1298</v>
      </c>
    </row>
    <row r="224" spans="1:3" s="54" customFormat="1" ht="35.1" customHeight="1" outlineLevel="1" x14ac:dyDescent="0.25">
      <c r="A224" s="52" t="str">
        <f>'[1]АРМ (ПК+27)'!A153</f>
        <v>AQ-CONF-ARMP-00138</v>
      </c>
      <c r="B224" s="21" t="str">
        <f>'[1]АРМ (ПК+27)'!D153</f>
        <v>АРМ Aquarius Pro K720 (АМПР.466539.253) (SFF_300/i5_14400/DDR5_16G/SSD512_M2_NVMe/WiFi/BT/KM/MON_27)</v>
      </c>
      <c r="C224" s="22">
        <v>1577</v>
      </c>
    </row>
    <row r="225" spans="1:3" s="54" customFormat="1" ht="35.1" customHeight="1" outlineLevel="1" x14ac:dyDescent="0.25">
      <c r="A225" s="16" t="s">
        <v>11</v>
      </c>
      <c r="B225" s="17"/>
      <c r="C225" s="18"/>
    </row>
    <row r="226" spans="1:3" s="54" customFormat="1" ht="35.1" customHeight="1" outlineLevel="1" x14ac:dyDescent="0.25">
      <c r="A226" s="52" t="str">
        <f>'[1]АРМ (ПК+27)'!A173</f>
        <v>AQ-CONF-ARMP-00139</v>
      </c>
      <c r="B226" s="21" t="str">
        <f>'[1]АРМ (ПК+27)'!D173</f>
        <v>АРМ Aquarius Pro K730 (АМПР.466539.244) (SFF_300/i3_12100/DDR5_8G/SSD256_M2_NVMe/WiFi/BT/KM/MON_27)</v>
      </c>
      <c r="C226" s="22">
        <v>1139</v>
      </c>
    </row>
    <row r="227" spans="1:3" s="54" customFormat="1" ht="35.1" customHeight="1" outlineLevel="1" x14ac:dyDescent="0.25">
      <c r="A227" s="52" t="str">
        <f>'[1]АРМ (ПК+27)'!A193</f>
        <v>AQ-CONF-ARMP-00140</v>
      </c>
      <c r="B227" s="21" t="str">
        <f>'[1]АРМ (ПК+27)'!D193</f>
        <v>АРМ Aquarius Pro K730 (АМПР.466539.244) (SFF_300/i5_12400/DDR5_8G/SSD256_M2_NVMe/WiFi/BT/KM/MON_27)</v>
      </c>
      <c r="C227" s="22">
        <v>1223</v>
      </c>
    </row>
    <row r="228" spans="1:3" s="54" customFormat="1" ht="35.1" customHeight="1" outlineLevel="1" x14ac:dyDescent="0.25">
      <c r="A228" s="52" t="str">
        <f>'[1]АРМ (ПК+27)'!A211</f>
        <v>AQ-CONF-ARMP-00141</v>
      </c>
      <c r="B228" s="21" t="str">
        <f>'[1]АРМ (ПК+27)'!D211</f>
        <v>АРМ Aquarius Pro K730 (АМПР.466539.244) (SFF_300/i5_12400/DDR5_8G/SSD512_M2_NVMe/WiFi/BT/KM/MON_27)</v>
      </c>
      <c r="C228" s="22">
        <v>1248</v>
      </c>
    </row>
    <row r="229" spans="1:3" s="54" customFormat="1" ht="35.1" customHeight="1" outlineLevel="1" x14ac:dyDescent="0.25">
      <c r="A229" s="52" t="str">
        <f>'[1]АРМ (ПК+27)'!A230</f>
        <v>AQ-CONF-ARMP-00142</v>
      </c>
      <c r="B229" s="21" t="str">
        <f>'[1]АРМ (ПК+27)'!D230</f>
        <v>АРМ Aquarius Pro K730 (АМПР.466539.244) (SFF_300/i3_13100/DDR5_8G/SSD256_M2_NVMe/WiFi/BT/KM/MON_27)</v>
      </c>
      <c r="C229" s="22">
        <v>1206</v>
      </c>
    </row>
    <row r="230" spans="1:3" s="54" customFormat="1" ht="35.1" customHeight="1" outlineLevel="1" x14ac:dyDescent="0.25">
      <c r="A230" s="52" t="str">
        <f>'[1]АРМ (ПК+27)'!A248</f>
        <v>AQ-CONF-ARMP-00143</v>
      </c>
      <c r="B230" s="21" t="str">
        <f>'[1]АРМ (ПК+27)'!D248</f>
        <v>АРМ Aquarius Pro K730 (АМПР.466539.244) (SFF_300/i5_13400/DDR5_8G/SSD256_M2_NVMe/WiFi/BT/KM/MON_27)</v>
      </c>
      <c r="C230" s="22">
        <v>1350</v>
      </c>
    </row>
    <row r="231" spans="1:3" s="54" customFormat="1" ht="35.1" customHeight="1" outlineLevel="1" x14ac:dyDescent="0.25">
      <c r="A231" s="52" t="str">
        <f>'[1]АРМ (ПК+27)'!A266</f>
        <v>AQ-CONF-ARMP-00144</v>
      </c>
      <c r="B231" s="21" t="str">
        <f>'[1]АРМ (ПК+27)'!D266</f>
        <v>АРМ Aquarius Pro K730(АМПР.466539.244) (SFF_300/i5_13400/DDR5_8G/SSD512_M2_NVMe/WiFi/BT/KM/MON_27)</v>
      </c>
      <c r="C231" s="22">
        <v>1375</v>
      </c>
    </row>
    <row r="232" spans="1:3" s="54" customFormat="1" ht="35.1" customHeight="1" outlineLevel="1" x14ac:dyDescent="0.25">
      <c r="A232" s="52" t="str">
        <f>'[1]АРМ (ПК+27)'!A285</f>
        <v>AQ-CONF-ARMP-00145</v>
      </c>
      <c r="B232" s="21" t="str">
        <f>'[1]АРМ (ПК+27)'!D285</f>
        <v>АРМ Aquarius Pro K730 (АМПР.466539.244) (SFF_300/i3_14100/DDR5_8G/SSD256_M2_NVMe/WiFi/BT/KM/MON_27)</v>
      </c>
      <c r="C232" s="22">
        <v>1209</v>
      </c>
    </row>
    <row r="233" spans="1:3" s="54" customFormat="1" ht="35.1" customHeight="1" outlineLevel="1" x14ac:dyDescent="0.25">
      <c r="A233" s="52" t="str">
        <f>'[1]АРМ (ПК+27)'!A303</f>
        <v>AQ-CONF-ARMP-00146</v>
      </c>
      <c r="B233" s="21" t="str">
        <f>'[1]АРМ (ПК+27)'!D303</f>
        <v>АРМ Aquarius Pro K730 (АМПР.466539.244)) (SFF_300/i5_14400/DDR5_16G/SSD512_M2_NVMe/WiFi/BT/KM/MON_27)</v>
      </c>
      <c r="C233" s="22">
        <v>1513</v>
      </c>
    </row>
    <row r="234" spans="1:3" s="54" customFormat="1" ht="35.1" customHeight="1" outlineLevel="1" x14ac:dyDescent="0.25">
      <c r="A234" s="16" t="s">
        <v>12</v>
      </c>
      <c r="B234" s="17"/>
      <c r="C234" s="18"/>
    </row>
    <row r="235" spans="1:3" s="54" customFormat="1" ht="35.1" customHeight="1" outlineLevel="1" x14ac:dyDescent="0.25">
      <c r="A235" s="52" t="str">
        <f>'[1]АРМ (ПК+27)'!A324</f>
        <v>AQ-CONF-ARMP-00147</v>
      </c>
      <c r="B235" s="21" t="str">
        <f>'[1]АРМ (ПК+27)'!D324</f>
        <v>АРМ Aquarius Pro K760 (АМПР.466539.245) (MNT/PSU400/i3_12100/DDR5_8G/SSD256_M2_NVMe/WiFi/BT/KM/MON_27)</v>
      </c>
      <c r="C235" s="22">
        <v>1138</v>
      </c>
    </row>
    <row r="236" spans="1:3" s="54" customFormat="1" ht="35.1" customHeight="1" outlineLevel="1" x14ac:dyDescent="0.25">
      <c r="A236" s="52" t="str">
        <f>'[1]АРМ (ПК+27)'!A343</f>
        <v>AQ-CONF-ARMP-00148</v>
      </c>
      <c r="B236" s="21" t="str">
        <f>'[1]АРМ (ПК+27)'!D343</f>
        <v>АРМ Aquarius Pro K760 (АМПР.466539.245) (MNT/PSU400/i5_12400/DDR5_8G/SSD256_M2_NVMe/WiFi/BT/KM/MON_27)</v>
      </c>
      <c r="C236" s="22">
        <v>1240</v>
      </c>
    </row>
    <row r="237" spans="1:3" s="54" customFormat="1" ht="35.1" customHeight="1" outlineLevel="1" x14ac:dyDescent="0.25">
      <c r="A237" s="52" t="str">
        <f>'[1]АРМ (ПК+27)'!A362</f>
        <v>AQ-CONF-ARMP-00149</v>
      </c>
      <c r="B237" s="21" t="str">
        <f>'[1]АРМ (ПК+27)'!D362</f>
        <v>АРМ Aquarius Pro K760 (АМПР.466539.245) (MNT/PSU400/i5_12400/DDR5_8G/SSD512_M2_NVMe/WiFi/BT/KM/MON_27)</v>
      </c>
      <c r="C237" s="22">
        <v>1265</v>
      </c>
    </row>
    <row r="238" spans="1:3" s="54" customFormat="1" ht="35.1" customHeight="1" outlineLevel="1" x14ac:dyDescent="0.25">
      <c r="A238" s="52" t="str">
        <f>'[1]АРМ (ПК+27)'!A382</f>
        <v>AQ-CONF-ARMP-00150</v>
      </c>
      <c r="B238" s="21" t="str">
        <f>'[1]АРМ (ПК+27)'!D382</f>
        <v>АРМ Aquarius Pro K760 (АМПР.466539.245) (MNT/PSU400/i3_13100/DDR5_8G/SSD256_M2_NVMe/WiFi/BT/KM/MON_27)</v>
      </c>
      <c r="C238" s="22">
        <v>1223</v>
      </c>
    </row>
    <row r="239" spans="1:3" s="54" customFormat="1" ht="35.1" customHeight="1" outlineLevel="1" x14ac:dyDescent="0.25">
      <c r="A239" s="52" t="str">
        <f>'[1]АРМ (ПК+27)'!A401</f>
        <v>AQ-CONF-ARMP-00151</v>
      </c>
      <c r="B239" s="21" t="str">
        <f>'[1]АРМ (ПК+27)'!D401</f>
        <v>АРМ Aquarius Pro K760 (АМПР.466539.245) (MNT/PSU400/i5_13400/DDR5_8G/SSD256_M2_NVMe/WiFi/BT/KM/MON_27)</v>
      </c>
      <c r="C239" s="22">
        <v>1366</v>
      </c>
    </row>
    <row r="240" spans="1:3" s="54" customFormat="1" ht="35.1" customHeight="1" outlineLevel="1" x14ac:dyDescent="0.25">
      <c r="A240" s="52" t="str">
        <f>'[1]АРМ (ПК+27)'!A420</f>
        <v>AQ-CONF-ARMP-00152</v>
      </c>
      <c r="B240" s="21" t="str">
        <f>'[1]АРМ (ПК+27)'!D420</f>
        <v>АРМ Aquarius Pro K760 (АМПР.466539.245) (MNT/PSU400/i5_13400/DDR5_8G/SSD512_M2_NVMe/WiFi/BT/KM/MON_27)</v>
      </c>
      <c r="C240" s="22">
        <v>1391</v>
      </c>
    </row>
    <row r="241" spans="1:3" s="54" customFormat="1" ht="35.1" customHeight="1" outlineLevel="1" x14ac:dyDescent="0.25">
      <c r="A241" s="52" t="str">
        <f>'[1]АРМ (ПК+27)'!A440</f>
        <v>AQ-CONF-ARMP-00153</v>
      </c>
      <c r="B241" s="21" t="str">
        <f>'[1]АРМ (ПК+27)'!D440</f>
        <v>АРМ Aquarius Pro K760 (АМПР.466539.245)(MNT/PSU400/i3_14100/DDR5_8G/SSD512_M2_NVMe/WiFi/BT/KM/MON_27)</v>
      </c>
      <c r="C241" s="22">
        <v>1251</v>
      </c>
    </row>
    <row r="242" spans="1:3" s="54" customFormat="1" ht="35.1" customHeight="1" outlineLevel="1" x14ac:dyDescent="0.25">
      <c r="A242" s="52" t="str">
        <f>'[1]АРМ (ПК+27)'!A459</f>
        <v>AQ-CONF-ARMP-00154</v>
      </c>
      <c r="B242" s="21" t="str">
        <f>'[1]АРМ (ПК+27)'!D459</f>
        <v>АРМ Aquarius Pro K760 (АМПР.466539.245) (MNT/PSU400/i5_14400/DDR5_16G/SSD512_M2_NVMe/WiFi/BT/KM/MON_27)</v>
      </c>
      <c r="C242" s="22">
        <v>1530</v>
      </c>
    </row>
    <row r="243" spans="1:3" s="54" customFormat="1" ht="35.1" customHeight="1" outlineLevel="1" x14ac:dyDescent="0.25">
      <c r="A243" s="52" t="str">
        <f>'[1]АРМ (ПК+27)'!A478</f>
        <v>AQ-CONF-ARMP-00155</v>
      </c>
      <c r="B243" s="21" t="str">
        <f>'[1]АРМ (ПК+27)'!D478</f>
        <v>АРМ Aquarius Pro K760 (АМПР.466539.245) (MNT/PSU400/i7_12700/DDR5_16G/SSD512_M2_NVMe/WiFi/BT/KM/MON_27)</v>
      </c>
      <c r="C243" s="22">
        <v>1630</v>
      </c>
    </row>
    <row r="244" spans="1:3" s="54" customFormat="1" ht="35.1" customHeight="1" outlineLevel="1" x14ac:dyDescent="0.25">
      <c r="A244" s="52" t="str">
        <f>'[1]АРМ (ПК+27)'!A497</f>
        <v>AQ-CONF-ARMP-00156</v>
      </c>
      <c r="B244" s="21" t="str">
        <f>'[1]АРМ (ПК+27)'!D497</f>
        <v>АРМ Aquarius Pro K760 (АМПР.466539.245) (MNT/PSU400/i7_13700/DDR5_16G/SSD512_M2_NVMe/WiFi/BT/KM/MON_27)</v>
      </c>
      <c r="C244" s="22">
        <v>2020</v>
      </c>
    </row>
    <row r="245" spans="1:3" s="54" customFormat="1" ht="35.1" customHeight="1" outlineLevel="1" x14ac:dyDescent="0.25">
      <c r="A245" s="52" t="str">
        <f>'[1]АРМ (ПК+27)'!A516</f>
        <v>AQ-CONF-ARMP-00157</v>
      </c>
      <c r="B245" s="21" t="str">
        <f>'[1]АРМ (ПК+27)'!D516</f>
        <v>АРМ Aquarius Pro K760 (АМПР.466539.245) (MNT/PSU400/i7_14700/DDR5_16G/SSD512_M2_NVMe/WiFi/BT/KM/MON_27)</v>
      </c>
      <c r="C245" s="22">
        <v>2168</v>
      </c>
    </row>
    <row r="246" spans="1:3" s="54" customFormat="1" ht="35.1" customHeight="1" outlineLevel="1" x14ac:dyDescent="0.25">
      <c r="A246" s="16" t="s">
        <v>13</v>
      </c>
      <c r="B246" s="17"/>
      <c r="C246" s="18"/>
    </row>
    <row r="247" spans="1:3" s="54" customFormat="1" ht="35.1" customHeight="1" outlineLevel="1" x14ac:dyDescent="0.25">
      <c r="A247" s="52" t="str">
        <f>'[1]АРМ (ПК+27)'!A536</f>
        <v>AQ-CONF-ARMP-00158</v>
      </c>
      <c r="B247" s="21" t="str">
        <f>'[1]АРМ (ПК+27)'!D536</f>
        <v>АРМ Aquarius Pro K790 (АМПР.466539.248) (MDT/PSU400/i5_12400/DDR5_8G/SSD256_M2_NVMe/WiFi/BT/KM/MON_27)</v>
      </c>
      <c r="C247" s="22">
        <v>1244</v>
      </c>
    </row>
    <row r="248" spans="1:3" s="54" customFormat="1" ht="35.1" customHeight="1" outlineLevel="1" x14ac:dyDescent="0.25">
      <c r="A248" s="52" t="str">
        <f>'[1]АРМ (ПК+27)'!A555</f>
        <v>AQ-CONF-ARMP-00159</v>
      </c>
      <c r="B248" s="21" t="str">
        <f>'[1]АРМ (ПК+27)'!D555</f>
        <v>АРМ Aquarius Pro K790 (АМПР.466539.248) (MDT/PSU400/i5_12400/DDR5_8G/SSD512_M2_NVMe/WiFi/BT/KM/MON_27)</v>
      </c>
      <c r="C248" s="22">
        <v>1269</v>
      </c>
    </row>
    <row r="249" spans="1:3" s="54" customFormat="1" ht="35.1" customHeight="1" outlineLevel="1" x14ac:dyDescent="0.25">
      <c r="A249" s="52" t="str">
        <f>'[1]АРМ (ПК+27)'!A574</f>
        <v>AQ-CONF-ARMP-00160</v>
      </c>
      <c r="B249" s="21" t="str">
        <f>'[1]АРМ (ПК+27)'!D574</f>
        <v>АРМ Aquarius Pro K790 (АМПР.466539.248) (MDT/PSU400/i7_12700/DDR5_16G/SSD512_M2_NVMe/WiFi/BT/KM/MON_27)</v>
      </c>
      <c r="C249" s="22">
        <v>1612</v>
      </c>
    </row>
    <row r="250" spans="1:3" s="54" customFormat="1" ht="35.1" customHeight="1" outlineLevel="1" x14ac:dyDescent="0.25">
      <c r="A250" s="52" t="str">
        <f>'[1]АРМ (ПК+27)'!A593</f>
        <v>AQ-CONF-ARMP-00161</v>
      </c>
      <c r="B250" s="21" t="str">
        <f>'[1]АРМ (ПК+27)'!D593</f>
        <v>АРМ Aquarius Pro K790 (АМПР.466539.248) (MDT/PSU400/i5_13400/DDR5_8G/SSD256_M2_NVMe/WiFi/BT/KM/MON_27)</v>
      </c>
      <c r="C250" s="22">
        <v>1370</v>
      </c>
    </row>
    <row r="251" spans="1:3" s="54" customFormat="1" ht="35.1" customHeight="1" outlineLevel="1" x14ac:dyDescent="0.25">
      <c r="A251" s="52" t="str">
        <f>'[1]АРМ (ПК+27)'!A612</f>
        <v>AQ-CONF-ARMP-00162</v>
      </c>
      <c r="B251" s="21" t="str">
        <f>'[1]АРМ (ПК+27)'!D612</f>
        <v>АРМ Aquarius Pro K790 (АМПР.466539.248) (MDT/PSU400/i5_13400/DDR5_8G/SSD512_M2_NVMe/WiFi/BT/KM/MON_27)</v>
      </c>
      <c r="C251" s="22">
        <v>1395</v>
      </c>
    </row>
    <row r="252" spans="1:3" s="54" customFormat="1" ht="35.1" customHeight="1" outlineLevel="1" x14ac:dyDescent="0.25">
      <c r="A252" s="52" t="str">
        <f>'[1]АРМ (ПК+27)'!A631</f>
        <v>AQ-CONF-ARMP-00163</v>
      </c>
      <c r="B252" s="21" t="str">
        <f>'[1]АРМ (ПК+27)'!D631</f>
        <v>АРМ Aquarius Pro K790 (АМПР.466539.248) (MDT/PSU400/i7_13700/DDR5_16G/SSD512_M2_NVMe/WiFi/BT/KM/MON_27)</v>
      </c>
      <c r="C252" s="22">
        <v>1943</v>
      </c>
    </row>
    <row r="253" spans="1:3" s="54" customFormat="1" ht="35.1" customHeight="1" outlineLevel="1" x14ac:dyDescent="0.25">
      <c r="A253" s="52" t="str">
        <f>'[1]АРМ (ПК+27)'!A651</f>
        <v>AQ-CONF-ARMP-00164</v>
      </c>
      <c r="B253" s="21" t="str">
        <f>'[1]АРМ (ПК+27)'!D651</f>
        <v>АРМ Aquarius Pro K790 (АМПР.466539.248) (MDT/PSU400/i5_14400/DDR5_16G/SSD512_M2_NVMe/WiFi/BT/KM/MON_27)</v>
      </c>
      <c r="C253" s="22">
        <v>1534</v>
      </c>
    </row>
    <row r="254" spans="1:3" s="54" customFormat="1" ht="35.1" customHeight="1" outlineLevel="1" x14ac:dyDescent="0.25">
      <c r="A254" s="52" t="str">
        <f>'[1]АРМ (ПК+27)'!A670</f>
        <v>AQ-CONF-ARMP-00165</v>
      </c>
      <c r="B254" s="21" t="str">
        <f>'[1]АРМ (ПК+27)'!D670</f>
        <v>АРМ Aquarius Pro K790 (АМПР.466539.248) (MDT/PSU400/i7_14700/DDR5_16G/SSD512_M2_NVMe/WiFi/BT/KM/MON_27)</v>
      </c>
      <c r="C254" s="22">
        <v>2026</v>
      </c>
    </row>
    <row r="255" spans="1:3" s="54" customFormat="1" ht="35.1" customHeight="1" outlineLevel="1" x14ac:dyDescent="0.25">
      <c r="A255" s="16" t="s">
        <v>14</v>
      </c>
      <c r="B255" s="17"/>
      <c r="C255" s="18"/>
    </row>
    <row r="256" spans="1:3" s="54" customFormat="1" ht="35.1" customHeight="1" outlineLevel="1" x14ac:dyDescent="0.25">
      <c r="A256" s="52" t="str">
        <f>'[1]АРМ (ПК+27)'!A884</f>
        <v>AQ-CONF-ARMP-00172</v>
      </c>
      <c r="B256" s="21" t="str">
        <f>'[1]АРМ (ПК+27)'!D884</f>
        <v>АРМ Aquarius Pro P30 K50 USFF1 (АМПР.466539.139) (USFF/i3_12100/DDR4_8G/SSD256_M2_NVMe/WiFi/BT/KM/MON_27)</v>
      </c>
      <c r="C256" s="22">
        <v>1271</v>
      </c>
    </row>
    <row r="257" spans="1:3" s="54" customFormat="1" ht="35.1" customHeight="1" outlineLevel="1" x14ac:dyDescent="0.25">
      <c r="A257" s="52" t="str">
        <f>'[1]АРМ (ПК+27)'!A902</f>
        <v>AQ-CONF-ARMP-00173</v>
      </c>
      <c r="B257" s="21" t="str">
        <f>'[1]АРМ (ПК+27)'!D902</f>
        <v>АРМ Aquarius Pro P30 K50 USFF1 (АМПР.466539.139) (USFF/i5_12400/DDR4_8G/SSD256_M2_NVMe/WiFi/BT/KM/MON_27)</v>
      </c>
      <c r="C257" s="22">
        <v>1372</v>
      </c>
    </row>
    <row r="258" spans="1:3" s="54" customFormat="1" ht="35.1" customHeight="1" outlineLevel="1" x14ac:dyDescent="0.25">
      <c r="A258" s="52" t="str">
        <f>'[1]АРМ (ПК+27)'!A919</f>
        <v>AQ-CONF-ARMP-00174</v>
      </c>
      <c r="B258" s="21" t="str">
        <f>'[1]АРМ (ПК+27)'!D919</f>
        <v>АРМ Aquarius Pro P30 K50 USFF1 (АМПР.466539.139) (USFF/i5_12400/DDR4_8G/SSD512_M2_NVMe/WiFi/BT/KM/MON_27)</v>
      </c>
      <c r="C258" s="22">
        <v>1397</v>
      </c>
    </row>
    <row r="259" spans="1:3" s="54" customFormat="1" ht="35.1" customHeight="1" outlineLevel="1" x14ac:dyDescent="0.25">
      <c r="A259" s="52" t="str">
        <f>'[1]АРМ (ПК+27)'!A937</f>
        <v>AQ-CONF-ARMP-00175</v>
      </c>
      <c r="B259" s="21" t="str">
        <f>'[1]АРМ (ПК+27)'!D937</f>
        <v>АРМ Aquarius Pro P30 K50 USFF1 (АМПР.466539.139) (USFF/i7_12700/DDR4_16G/SSD512_M2_NVMe/WiFi/BT/KM/MON_27)</v>
      </c>
      <c r="C259" s="22">
        <v>1750</v>
      </c>
    </row>
    <row r="260" spans="1:3" s="54" customFormat="1" ht="35.1" customHeight="1" outlineLevel="1" x14ac:dyDescent="0.25">
      <c r="A260" s="52" t="str">
        <f>'[1]АРМ (ПК+27)'!A955</f>
        <v>AQ-CONF-ARMP-00176</v>
      </c>
      <c r="B260" s="21" t="str">
        <f>'[1]АРМ (ПК+27)'!D955</f>
        <v>АРМ Aquarius Pro P30 K50 USFF1 (АМПР.466539.139) (USFF/i3_13100/DDR4_8G/SSD256_M2_NVMe/WiFi/BT/KM/MON_27)</v>
      </c>
      <c r="C260" s="22">
        <v>1356</v>
      </c>
    </row>
    <row r="261" spans="1:3" s="54" customFormat="1" ht="35.1" customHeight="1" outlineLevel="1" x14ac:dyDescent="0.25">
      <c r="A261" s="52" t="str">
        <f>'[1]АРМ (ПК+27)'!A973</f>
        <v>AQ-CONF-ARMP-00177</v>
      </c>
      <c r="B261" s="21" t="str">
        <f>'[1]АРМ (ПК+27)'!D973</f>
        <v>АРМ Aquarius Pro P30 K50 USFF1 (АМПР.466539.139) (USFF/i5_13400/DDR4_8G/SSD256_M2_NVMe/WiFi/BT/KM/MON_27)</v>
      </c>
      <c r="C261" s="22">
        <v>1499</v>
      </c>
    </row>
    <row r="262" spans="1:3" s="54" customFormat="1" ht="35.1" customHeight="1" outlineLevel="1" x14ac:dyDescent="0.25">
      <c r="A262" s="52" t="str">
        <f>'[1]АРМ (ПК+27)'!A991</f>
        <v>AQ-CONF-ARMP-00178</v>
      </c>
      <c r="B262" s="21" t="str">
        <f>'[1]АРМ (ПК+27)'!D991</f>
        <v>АРМ Aquarius Pro P30 K50 USFF1 (АМПР.466539.139) (USFF/i5_13400/DDR4_8G/SSD512_M2_NVMe/WiFi/BT/KM/MON_27)</v>
      </c>
      <c r="C262" s="22">
        <v>1524</v>
      </c>
    </row>
    <row r="263" spans="1:3" s="54" customFormat="1" ht="35.1" customHeight="1" outlineLevel="1" x14ac:dyDescent="0.25">
      <c r="A263" s="52" t="str">
        <f>'[1]АРМ (ПК+27)'!A1009</f>
        <v>AQ-CONF-ARMP-00179</v>
      </c>
      <c r="B263" s="21" t="str">
        <f>'[1]АРМ (ПК+27)'!D1009</f>
        <v>АРМ Aquarius Pro P30 K50 USFF1 (АМПР.466539.139) (USFF/i7_13700/DDR4_16G/SSD512_M2_NVMe/WiFi/BT/KM/MON_27)</v>
      </c>
      <c r="C263" s="22">
        <v>2081</v>
      </c>
    </row>
    <row r="264" spans="1:3" s="54" customFormat="1" ht="35.1" customHeight="1" outlineLevel="1" x14ac:dyDescent="0.25">
      <c r="A264" s="52" t="str">
        <f>'[1]АРМ (ПК+27)'!A1027</f>
        <v>AQ-CONF-ARMP-00180</v>
      </c>
      <c r="B264" s="21" t="str">
        <f>'[1]АРМ (ПК+27)'!D1027</f>
        <v>АРМ Aquarius Pro P30 K50 USFF1 (АМПР.466539.139) (USFF/i3_14100/DDR4_8G/SSD512_M2_NVMe/WiFi/BT/KM/MON_27)</v>
      </c>
      <c r="C264" s="22">
        <v>1384</v>
      </c>
    </row>
    <row r="265" spans="1:3" s="54" customFormat="1" ht="35.1" customHeight="1" outlineLevel="1" x14ac:dyDescent="0.25">
      <c r="A265" s="52" t="str">
        <f>'[1]АРМ (ПК+27)'!A1045</f>
        <v>AQ-CONF-ARMP-00181</v>
      </c>
      <c r="B265" s="21" t="str">
        <f>'[1]АРМ (ПК+27)'!D1045</f>
        <v>АРМ Aquarius Pro P30 K50 USFF1 (АМПР.466539.139) (USFF/i5_14400/DDR4_16G/SSD512_M2_NVMe/WiFi/BT/KM/MON_27)</v>
      </c>
      <c r="C265" s="22">
        <v>1672</v>
      </c>
    </row>
    <row r="266" spans="1:3" s="54" customFormat="1" ht="35.1" customHeight="1" outlineLevel="1" x14ac:dyDescent="0.25">
      <c r="A266" s="52" t="str">
        <f>'[1]АРМ (ПК+27)'!A1063</f>
        <v>AQ-CONF-ARMP-00182</v>
      </c>
      <c r="B266" s="21" t="str">
        <f>'[1]АРМ (ПК+27)'!D1063</f>
        <v>АРМ Aquarius Pro P30 K50 USFF1 (АМПР.466539.139) (USFF/i7_14700/DDR4_16G/SSD512_M2_NVMe/WiFi/BT/KM/MON_27)</v>
      </c>
      <c r="C266" s="22">
        <v>2164</v>
      </c>
    </row>
    <row r="267" spans="1:3" s="54" customFormat="1" ht="35.1" customHeight="1" outlineLevel="1" x14ac:dyDescent="0.25">
      <c r="A267" s="16" t="s">
        <v>15</v>
      </c>
      <c r="B267" s="17"/>
      <c r="C267" s="18"/>
    </row>
    <row r="268" spans="1:3" s="54" customFormat="1" ht="35.1" customHeight="1" outlineLevel="1" x14ac:dyDescent="0.25">
      <c r="A268" s="52" t="str">
        <f>'[1]АРМ (ПК+27)'!A1084</f>
        <v>AQ-CONF-ARMP-00183</v>
      </c>
      <c r="B268" s="21" t="str">
        <f>'[1]АРМ (ПК+27)'!D1084</f>
        <v>АРМ Aquarius Pro P30 K51 USFF1 (АМПР.466539.148) (USFF/i3_12100/DDR4_8G/SSD256_M2_NVMe/WiFi/BT/KM/MON_27)</v>
      </c>
      <c r="C268" s="22">
        <v>1216</v>
      </c>
    </row>
    <row r="269" spans="1:3" s="54" customFormat="1" ht="35.1" customHeight="1" outlineLevel="1" x14ac:dyDescent="0.25">
      <c r="A269" s="52" t="str">
        <f>'[1]АРМ (ПК+27)'!A1103</f>
        <v>AQ-CONF-ARMP-00184</v>
      </c>
      <c r="B269" s="21" t="str">
        <f>'[1]АРМ (ПК+27)'!D1103</f>
        <v>АРМ Aquarius Pro P30 K51 USFF1 (АМПР.466539.148) (USFF/i5_12400/DDR4_8G/SSD256_M2_NVMe/WiFi/BT/KM/MON_27)</v>
      </c>
      <c r="C269" s="22">
        <v>1318</v>
      </c>
    </row>
    <row r="270" spans="1:3" s="54" customFormat="1" ht="35.1" customHeight="1" outlineLevel="1" x14ac:dyDescent="0.25">
      <c r="A270" s="52" t="str">
        <f>'[1]АРМ (ПК+27)'!A1120</f>
        <v>AQ-CONF-ARMP-00185</v>
      </c>
      <c r="B270" s="21" t="str">
        <f>'[1]АРМ (ПК+27)'!D1120</f>
        <v>АРМ Aquarius Pro P30 K51 USFF1 (АМПР.466539.148) (USFF/i5_12400/DDR4_8G/SSD512_M2_NVMe/WiFi/BT/KM/MON_27)</v>
      </c>
      <c r="C270" s="22">
        <v>1343</v>
      </c>
    </row>
    <row r="271" spans="1:3" s="54" customFormat="1" ht="35.1" customHeight="1" outlineLevel="1" x14ac:dyDescent="0.25">
      <c r="A271" s="52" t="str">
        <f>'[1]АРМ (ПК+27)'!A1139</f>
        <v>AQ-CONF-ARMP-00186</v>
      </c>
      <c r="B271" s="21" t="str">
        <f>'[1]АРМ (ПК+27)'!D1139</f>
        <v>АРМ Aquarius Pro P30 K51 USFF1 (АМПР.466539.148) (USFF/i7_12700/DDR4_16G/SSD512_M2_NVMe/WiFi/BT/KM/MON_27)</v>
      </c>
      <c r="C271" s="22">
        <v>1695</v>
      </c>
    </row>
    <row r="272" spans="1:3" s="54" customFormat="1" ht="35.1" customHeight="1" outlineLevel="1" x14ac:dyDescent="0.25">
      <c r="A272" s="52" t="str">
        <f>'[1]АРМ (ПК+27)'!A1158</f>
        <v>AQ-CONF-ARMP-00187</v>
      </c>
      <c r="B272" s="21" t="str">
        <f>'[1]АРМ (ПК+27)'!D1158</f>
        <v>АРМ Aquarius Pro P30 K51 USFF1 (АМПР.466539.148) (USFF/i3_13100/DDR4_8G/SSD256_M2_NVMe/WiFi/BT/KM/MON_27)</v>
      </c>
      <c r="C272" s="22">
        <v>1301</v>
      </c>
    </row>
    <row r="273" spans="1:3" s="54" customFormat="1" ht="35.1" customHeight="1" outlineLevel="1" x14ac:dyDescent="0.25">
      <c r="A273" s="52" t="str">
        <f>'[1]АРМ (ПК+27)'!A1177</f>
        <v>AQ-CONF-ARMP-00188</v>
      </c>
      <c r="B273" s="21" t="str">
        <f>'[1]АРМ (ПК+27)'!D1177</f>
        <v>АРМ Aquarius Pro P30 K51 USFF1 (АМПР.466539.148) (USFF/i5_13400/DDR4_8G/SSD256_M2_NVMe/WiFi/BT/KM/MON_27)</v>
      </c>
      <c r="C273" s="22">
        <v>1445</v>
      </c>
    </row>
    <row r="274" spans="1:3" s="54" customFormat="1" ht="35.1" customHeight="1" outlineLevel="1" x14ac:dyDescent="0.25">
      <c r="A274" s="52" t="str">
        <f>'[1]АРМ (ПК+27)'!A1194</f>
        <v>AQ-CONF-ARMP-00189</v>
      </c>
      <c r="B274" s="21" t="str">
        <f>'[1]АРМ (ПК+27)'!D1194</f>
        <v>АРМ Aquarius Pro P30 K51 USFF1 (АМПР.466539.148) (USFF/i5_13400/DDR4_8G/SSD512_M2_NVMe/WiFi/BT/KM/MON_27)</v>
      </c>
      <c r="C274" s="22">
        <v>1470</v>
      </c>
    </row>
    <row r="275" spans="1:3" s="54" customFormat="1" ht="35.1" customHeight="1" outlineLevel="1" x14ac:dyDescent="0.25">
      <c r="A275" s="52" t="str">
        <f>'[1]АРМ (ПК+27)'!A1215</f>
        <v>AQ-CONF-ARMP-00190</v>
      </c>
      <c r="B275" s="21" t="str">
        <f>'[1]АРМ (ПК+27)'!D1215</f>
        <v>АРМ Aquarius Pro P30 K51 USFF1 (АМПР.466539.148) (USFF/i7_13700/DDR4_16G/SSD512_M2_NVMe/WiFi/BT/KM/MON_27)</v>
      </c>
      <c r="C275" s="22">
        <v>2026</v>
      </c>
    </row>
    <row r="276" spans="1:3" s="54" customFormat="1" ht="35.1" customHeight="1" outlineLevel="1" x14ac:dyDescent="0.25">
      <c r="A276" s="52" t="str">
        <f>'[1]АРМ (ПК+27)'!A1234</f>
        <v>AQ-CONF-ARMP-00191</v>
      </c>
      <c r="B276" s="21" t="str">
        <f>'[1]АРМ (ПК+27)'!D1234</f>
        <v>АРМ Aquarius Pro P30 K51 USFF1 (АМПР.466539.148) (USFF/i3_14100/DDR4_8G/SSD512_M2_NVMe/WiFi/BT/KM/MON_27)</v>
      </c>
      <c r="C276" s="22">
        <v>1329</v>
      </c>
    </row>
    <row r="277" spans="1:3" s="54" customFormat="1" ht="35.1" customHeight="1" outlineLevel="1" x14ac:dyDescent="0.25">
      <c r="A277" s="52" t="str">
        <f>'[1]АРМ (ПК+27)'!A1253</f>
        <v>AQ-CONF-ARMP-00192</v>
      </c>
      <c r="B277" s="21" t="str">
        <f>'[1]АРМ (ПК+27)'!D1253</f>
        <v>АРМ Aquarius Pro P30 K51 USFF1 (АМПР.466539.148) (USFF/i5_14400/DDR4_16G/SSD512_M2_NVMe/WiFi/BT/KM/MON_27)</v>
      </c>
      <c r="C277" s="22">
        <v>1617</v>
      </c>
    </row>
    <row r="278" spans="1:3" s="54" customFormat="1" ht="35.1" customHeight="1" outlineLevel="1" x14ac:dyDescent="0.25">
      <c r="A278" s="52" t="str">
        <f>'[1]АРМ (ПК+27)'!A1272</f>
        <v>AQ-CONF-ARMP-00193</v>
      </c>
      <c r="B278" s="21" t="str">
        <f>'[1]АРМ (ПК+27)'!D1272</f>
        <v>АРМ Aquarius Pro P30 K51 USFF1 (АМПР.466539.148) (USFF/i7_14700/DDR4_16G/SSD256_M2_NVMe/WiFi/BT/KM/MON_27)</v>
      </c>
      <c r="C278" s="22">
        <v>2084</v>
      </c>
    </row>
    <row r="279" spans="1:3" s="54" customFormat="1" ht="35.1" customHeight="1" outlineLevel="1" x14ac:dyDescent="0.25">
      <c r="A279" s="16" t="s">
        <v>16</v>
      </c>
      <c r="B279" s="17"/>
      <c r="C279" s="18"/>
    </row>
    <row r="280" spans="1:3" s="54" customFormat="1" ht="35.1" customHeight="1" outlineLevel="1" x14ac:dyDescent="0.25">
      <c r="A280" s="52" t="str">
        <f>'[1]АРМ (ПК+27)'!A687</f>
        <v>AQ-CONF-ARMP-00166</v>
      </c>
      <c r="B280" s="21" t="str">
        <f>'[1]АРМ (ПК+27)'!D687</f>
        <v>АРМ Aquarius Pro P30 K43 USFF1 (АМПР.466539.425) (USFF/i3_10100/DDR4_8G/SSD256_M2_NVMe/WiFi/BT/KM/MON_27)</v>
      </c>
      <c r="C280" s="22">
        <v>1105</v>
      </c>
    </row>
    <row r="281" spans="1:3" s="54" customFormat="1" ht="35.1" customHeight="1" outlineLevel="1" x14ac:dyDescent="0.25">
      <c r="A281" s="52" t="str">
        <f>'[1]АРМ (ПК+27)'!A704</f>
        <v>AQ-CONF-ARMP-00167</v>
      </c>
      <c r="B281" s="21" t="str">
        <f>'[1]АРМ (ПК+27)'!D704</f>
        <v>АРМ Aquarius Pro P30 K43 USFF1 (АМПР.466539.425) (USFF/i5_10500/DDR4_8G/SSD512_M2_NVMe/WiFi/BT/KM/MON_27)</v>
      </c>
      <c r="C281" s="22">
        <v>1251</v>
      </c>
    </row>
    <row r="282" spans="1:3" s="54" customFormat="1" ht="35.1" customHeight="1" outlineLevel="1" x14ac:dyDescent="0.25">
      <c r="A282" s="16" t="s">
        <v>17</v>
      </c>
      <c r="B282" s="17"/>
      <c r="C282" s="18"/>
    </row>
    <row r="283" spans="1:3" s="54" customFormat="1" ht="35.1" customHeight="1" outlineLevel="1" x14ac:dyDescent="0.25">
      <c r="A283" s="52" t="str">
        <f>'[1]АРМ (ПК+27)'!A725</f>
        <v>AQ-CONF-ARMP-00168</v>
      </c>
      <c r="B283" s="21" t="str">
        <f>'[1]АРМ (ПК+27)'!D725</f>
        <v>АРМ Aquarius Pro P30 K45 mini-Tower (АМПР.466539.434) (MNT/PSU400/R5_5600G/DDR4_8G/SSD256_M2_NVMe/WiFi/BT/KM/MON_27)</v>
      </c>
      <c r="C283" s="22">
        <v>1036</v>
      </c>
    </row>
    <row r="284" spans="1:3" s="54" customFormat="1" ht="35.1" customHeight="1" outlineLevel="1" x14ac:dyDescent="0.25">
      <c r="A284" s="52" t="str">
        <f>'[1]АРМ (ПК+27)'!A745</f>
        <v>AQ-CONF-ARMP-00169</v>
      </c>
      <c r="B284" s="21" t="str">
        <f>'[1]АРМ (ПК+27)'!D745</f>
        <v>АРМ Aquarius Pro P30 K45 mini-Tower (АМПР.466539.434) (MNT/PSU400/Ath_3000G/DDR4_8G/SSD256_M2_NVMe/WiFi/BT/KM/MON_27)</v>
      </c>
      <c r="C284" s="22">
        <v>796</v>
      </c>
    </row>
    <row r="285" spans="1:3" s="54" customFormat="1" ht="35.1" customHeight="1" outlineLevel="1" x14ac:dyDescent="0.25">
      <c r="A285" s="52" t="str">
        <f>'[1]АРМ (ПК+27)'!A808</f>
        <v>AQ-CONF-ARMP-00170</v>
      </c>
      <c r="B285" s="21" t="str">
        <f>'[1]АРМ (ПК+27)'!D808</f>
        <v>АРМ Aquarius Pro P30 K45 SFF1 (АМПР.466539.457) (SFF_300/R5_5600G/DDR4_8G/SSD256_M2_NVMe/WiFi/BT/KM/MON_27)</v>
      </c>
      <c r="C285" s="22">
        <v>1189</v>
      </c>
    </row>
    <row r="286" spans="1:3" s="54" customFormat="1" ht="35.1" customHeight="1" outlineLevel="1" x14ac:dyDescent="0.25">
      <c r="A286" s="52" t="str">
        <f>'[1]АРМ (ПК+27)'!A828</f>
        <v>AQ-CONF-ARMP-00171</v>
      </c>
      <c r="B286" s="21" t="str">
        <f>'[1]АРМ (ПК+27)'!D828</f>
        <v>АРМ Aquarius Pro P30 K45 SFF1 (АМПР.466539.457) (SFF_300/Ath_3000G/DDR4_8G/SSD256_M2_NVMe/WiFi/BT/KM/MON_27)</v>
      </c>
      <c r="C286" s="22">
        <v>939</v>
      </c>
    </row>
    <row r="287" spans="1:3" s="54" customFormat="1" ht="35.1" customHeight="1" outlineLevel="1" x14ac:dyDescent="0.25">
      <c r="A287" s="24" t="s">
        <v>18</v>
      </c>
      <c r="B287" s="25"/>
      <c r="C287" s="26"/>
    </row>
    <row r="288" spans="1:3" s="54" customFormat="1" ht="35.1" customHeight="1" outlineLevel="1" x14ac:dyDescent="0.25">
      <c r="A288" s="55" t="str">
        <f>'[1]АРМ (ПК+27)'!A1288</f>
        <v>AQ-CONF-ARMP-00194</v>
      </c>
      <c r="B288" s="40" t="str">
        <f>'[1]АРМ (ПК+27)'!D1288</f>
        <v>АРМ Aquarius Pro G40 S90 (АМПР.466539.227) (MDT/PSU750/E-2244G/DDR4_8G/SSD_256GB/KM/MON_27)</v>
      </c>
      <c r="C288" s="56">
        <v>2905</v>
      </c>
    </row>
    <row r="289" spans="1:3" s="54" customFormat="1" x14ac:dyDescent="0.25">
      <c r="A289" s="1"/>
      <c r="B289" s="42"/>
      <c r="C289" s="3"/>
    </row>
  </sheetData>
  <hyperlinks>
    <hyperlink ref="B1" location="'AQ Price ARM'!A10" display="АРМ ПК (без монитора)" xr:uid="{34064EE4-8AF6-4BF9-B0A1-BE24DDC73644}"/>
    <hyperlink ref="B2" location="'AQ Price ARM'!A84" display="АРМ Моноблоки" xr:uid="{4AB38AAC-2533-427E-B01C-CD527251BF57}"/>
    <hyperlink ref="B3" location="'AQ Price ARM'!A141" display="АРМ (ПК+24)" xr:uid="{0D8A7BA7-716C-439E-A03A-DD896898CC73}"/>
    <hyperlink ref="B4" location="'AQ Price ARM'!A215" display="АРМ (ПК+27)" xr:uid="{DA590B8E-9072-4FAF-A926-71EF3D1CC4B6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AQ Price</vt:lpstr>
      <vt:lpstr>AQ Price ARM</vt:lpstr>
    </vt:vector>
  </TitlesOfParts>
  <Company>AQUARIUS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Пак Ирина Александровна</dc:creator>
  <cp:lastModifiedBy>Пак Ирина Александровна</cp:lastModifiedBy>
  <dcterms:created xsi:type="dcterms:W3CDTF">2025-02-03T10:26:43Z</dcterms:created>
  <dcterms:modified xsi:type="dcterms:W3CDTF">2025-02-03T13:10:21Z</dcterms:modified>
</cp:coreProperties>
</file>